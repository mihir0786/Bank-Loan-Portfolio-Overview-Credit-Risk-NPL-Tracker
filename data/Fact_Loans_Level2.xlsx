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13_ncr:1_{51A7FAC2-BB25-4F4A-9198-623BD4D96C14}" xr6:coauthVersionLast="47" xr6:coauthVersionMax="47" xr10:uidLastSave="{00000000-0000-0000-0000-000000000000}"/>
  <bookViews>
    <workbookView xWindow="-107" yWindow="-107" windowWidth="20847" windowHeight="12401" xr2:uid="{970E03C1-8151-4085-9C4D-785572FB51B9}"/>
  </bookViews>
  <sheets>
    <sheet name="Fact_Lo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O120" i="1"/>
  <c r="O436" i="1"/>
  <c r="O581" i="1"/>
  <c r="O766" i="1"/>
  <c r="K2" i="1"/>
  <c r="L2" i="1" s="1"/>
  <c r="N2" i="1" s="1"/>
  <c r="K5" i="1"/>
  <c r="K3" i="1"/>
  <c r="L3" i="1" s="1"/>
  <c r="K4" i="1"/>
  <c r="L4" i="1" s="1"/>
  <c r="K6" i="1"/>
  <c r="K7" i="1"/>
  <c r="K8" i="1"/>
  <c r="K9" i="1"/>
  <c r="K10" i="1"/>
  <c r="L10" i="1" s="1"/>
  <c r="N10" i="1" s="1"/>
  <c r="K11" i="1"/>
  <c r="K12" i="1"/>
  <c r="L12" i="1" s="1"/>
  <c r="N12" i="1" s="1"/>
  <c r="K13" i="1"/>
  <c r="L13" i="1" s="1"/>
  <c r="N13" i="1" s="1"/>
  <c r="K14" i="1"/>
  <c r="L14" i="1" s="1"/>
  <c r="N14" i="1" s="1"/>
  <c r="K15" i="1"/>
  <c r="L15" i="1" s="1"/>
  <c r="N15" i="1" s="1"/>
  <c r="K16" i="1"/>
  <c r="L16" i="1" s="1"/>
  <c r="N16" i="1" s="1"/>
  <c r="K17" i="1"/>
  <c r="L17" i="1" s="1"/>
  <c r="K18" i="1"/>
  <c r="K19" i="1"/>
  <c r="K20" i="1"/>
  <c r="K21" i="1"/>
  <c r="L21" i="1" s="1"/>
  <c r="K22" i="1"/>
  <c r="K23" i="1"/>
  <c r="L23" i="1" s="1"/>
  <c r="K24" i="1"/>
  <c r="K25" i="1"/>
  <c r="K26" i="1"/>
  <c r="L26" i="1" s="1"/>
  <c r="N26" i="1" s="1"/>
  <c r="K27" i="1"/>
  <c r="K28" i="1"/>
  <c r="K29" i="1"/>
  <c r="L29" i="1" s="1"/>
  <c r="K30" i="1"/>
  <c r="L30" i="1" s="1"/>
  <c r="N30" i="1" s="1"/>
  <c r="K31" i="1"/>
  <c r="L31" i="1" s="1"/>
  <c r="N31" i="1" s="1"/>
  <c r="K32" i="1"/>
  <c r="L32" i="1" s="1"/>
  <c r="K33" i="1"/>
  <c r="K34" i="1"/>
  <c r="L34" i="1" s="1"/>
  <c r="K35" i="1"/>
  <c r="K36" i="1"/>
  <c r="L36" i="1" s="1"/>
  <c r="K37" i="1"/>
  <c r="K38" i="1"/>
  <c r="L38" i="1" s="1"/>
  <c r="N38" i="1" s="1"/>
  <c r="K39" i="1"/>
  <c r="L39" i="1" s="1"/>
  <c r="N39" i="1" s="1"/>
  <c r="K40" i="1"/>
  <c r="L40" i="1" s="1"/>
  <c r="K41" i="1"/>
  <c r="L41" i="1" s="1"/>
  <c r="N41" i="1" s="1"/>
  <c r="K42" i="1"/>
  <c r="L42" i="1" s="1"/>
  <c r="N42" i="1" s="1"/>
  <c r="K43" i="1"/>
  <c r="K44" i="1"/>
  <c r="K45" i="1"/>
  <c r="K46" i="1"/>
  <c r="K47" i="1"/>
  <c r="L47" i="1" s="1"/>
  <c r="K48" i="1"/>
  <c r="L48" i="1" s="1"/>
  <c r="N48" i="1" s="1"/>
  <c r="K49" i="1"/>
  <c r="L49" i="1" s="1"/>
  <c r="N49" i="1" s="1"/>
  <c r="K50" i="1"/>
  <c r="L50" i="1" s="1"/>
  <c r="N50" i="1" s="1"/>
  <c r="K51" i="1"/>
  <c r="K52" i="1"/>
  <c r="L52" i="1" s="1"/>
  <c r="K53" i="1"/>
  <c r="L53" i="1" s="1"/>
  <c r="N53" i="1" s="1"/>
  <c r="K54" i="1"/>
  <c r="L54" i="1" s="1"/>
  <c r="N54" i="1" s="1"/>
  <c r="K55" i="1"/>
  <c r="L55" i="1" s="1"/>
  <c r="N55" i="1" s="1"/>
  <c r="K56" i="1"/>
  <c r="K57" i="1"/>
  <c r="K58" i="1"/>
  <c r="K59" i="1"/>
  <c r="K60" i="1"/>
  <c r="M60" i="1" s="1"/>
  <c r="K61" i="1"/>
  <c r="L61" i="1" s="1"/>
  <c r="K62" i="1"/>
  <c r="K63" i="1"/>
  <c r="K64" i="1"/>
  <c r="K65" i="1"/>
  <c r="K66" i="1"/>
  <c r="K67" i="1"/>
  <c r="K68" i="1"/>
  <c r="K69" i="1"/>
  <c r="L69" i="1" s="1"/>
  <c r="N69" i="1" s="1"/>
  <c r="K70" i="1"/>
  <c r="L70" i="1" s="1"/>
  <c r="K71" i="1"/>
  <c r="L71" i="1" s="1"/>
  <c r="N71" i="1" s="1"/>
  <c r="K72" i="1"/>
  <c r="L72" i="1" s="1"/>
  <c r="K73" i="1"/>
  <c r="L73" i="1" s="1"/>
  <c r="N73" i="1" s="1"/>
  <c r="K74" i="1"/>
  <c r="K75" i="1"/>
  <c r="K76" i="1"/>
  <c r="M76" i="1" s="1"/>
  <c r="K77" i="1"/>
  <c r="L77" i="1" s="1"/>
  <c r="K78" i="1"/>
  <c r="L78" i="1" s="1"/>
  <c r="N78" i="1" s="1"/>
  <c r="K79" i="1"/>
  <c r="L79" i="1" s="1"/>
  <c r="N79" i="1" s="1"/>
  <c r="K80" i="1"/>
  <c r="L80" i="1" s="1"/>
  <c r="N80" i="1" s="1"/>
  <c r="K81" i="1"/>
  <c r="L81" i="1" s="1"/>
  <c r="N81" i="1" s="1"/>
  <c r="K82" i="1"/>
  <c r="L82" i="1" s="1"/>
  <c r="K83" i="1"/>
  <c r="K84" i="1"/>
  <c r="K85" i="1"/>
  <c r="L85" i="1" s="1"/>
  <c r="K86" i="1"/>
  <c r="K87" i="1"/>
  <c r="K88" i="1"/>
  <c r="K89" i="1"/>
  <c r="K90" i="1"/>
  <c r="K91" i="1"/>
  <c r="K92" i="1"/>
  <c r="M92" i="1" s="1"/>
  <c r="K93" i="1"/>
  <c r="L93" i="1" s="1"/>
  <c r="O93" i="1" s="1"/>
  <c r="K94" i="1"/>
  <c r="L94" i="1" s="1"/>
  <c r="N94" i="1" s="1"/>
  <c r="K95" i="1"/>
  <c r="K96" i="1"/>
  <c r="K97" i="1"/>
  <c r="K98" i="1"/>
  <c r="K99" i="1"/>
  <c r="K100" i="1"/>
  <c r="L100" i="1" s="1"/>
  <c r="K101" i="1"/>
  <c r="K102" i="1"/>
  <c r="L102" i="1" s="1"/>
  <c r="N102" i="1" s="1"/>
  <c r="K103" i="1"/>
  <c r="L103" i="1" s="1"/>
  <c r="K104" i="1"/>
  <c r="L104" i="1" s="1"/>
  <c r="K105" i="1"/>
  <c r="L105" i="1" s="1"/>
  <c r="N105" i="1" s="1"/>
  <c r="K106" i="1"/>
  <c r="L106" i="1" s="1"/>
  <c r="N106" i="1" s="1"/>
  <c r="K107" i="1"/>
  <c r="K108" i="1"/>
  <c r="M108" i="1" s="1"/>
  <c r="K109" i="1"/>
  <c r="K110" i="1"/>
  <c r="L110" i="1" s="1"/>
  <c r="K111" i="1"/>
  <c r="L111" i="1" s="1"/>
  <c r="N111" i="1" s="1"/>
  <c r="K112" i="1"/>
  <c r="L112" i="1" s="1"/>
  <c r="N112" i="1" s="1"/>
  <c r="K113" i="1"/>
  <c r="L113" i="1" s="1"/>
  <c r="K114" i="1"/>
  <c r="L114" i="1" s="1"/>
  <c r="N114" i="1" s="1"/>
  <c r="K115" i="1"/>
  <c r="K116" i="1"/>
  <c r="L116" i="1" s="1"/>
  <c r="K117" i="1"/>
  <c r="K118" i="1"/>
  <c r="K119" i="1"/>
  <c r="L119" i="1" s="1"/>
  <c r="N119" i="1" s="1"/>
  <c r="K120" i="1"/>
  <c r="L120" i="1" s="1"/>
  <c r="N120" i="1" s="1"/>
  <c r="K121" i="1"/>
  <c r="K122" i="1"/>
  <c r="L122" i="1" s="1"/>
  <c r="N122" i="1" s="1"/>
  <c r="K123" i="1"/>
  <c r="K124" i="1"/>
  <c r="K125" i="1"/>
  <c r="K126" i="1"/>
  <c r="K127" i="1"/>
  <c r="L127" i="1" s="1"/>
  <c r="N127" i="1" s="1"/>
  <c r="K128" i="1"/>
  <c r="L128" i="1" s="1"/>
  <c r="N128" i="1" s="1"/>
  <c r="K129" i="1"/>
  <c r="L129" i="1" s="1"/>
  <c r="N129" i="1" s="1"/>
  <c r="K130" i="1"/>
  <c r="L130" i="1" s="1"/>
  <c r="N130" i="1" s="1"/>
  <c r="K131" i="1"/>
  <c r="K132" i="1"/>
  <c r="K133" i="1"/>
  <c r="K134" i="1"/>
  <c r="K135" i="1"/>
  <c r="K136" i="1"/>
  <c r="K137" i="1"/>
  <c r="K138" i="1"/>
  <c r="K139" i="1"/>
  <c r="K140" i="1"/>
  <c r="L140" i="1" s="1"/>
  <c r="N140" i="1" s="1"/>
  <c r="K141" i="1"/>
  <c r="K142" i="1"/>
  <c r="K143" i="1"/>
  <c r="K144" i="1"/>
  <c r="L144" i="1" s="1"/>
  <c r="K145" i="1"/>
  <c r="K146" i="1"/>
  <c r="L146" i="1" s="1"/>
  <c r="N146" i="1" s="1"/>
  <c r="K147" i="1"/>
  <c r="K148" i="1"/>
  <c r="L148" i="1" s="1"/>
  <c r="K149" i="1"/>
  <c r="K150" i="1"/>
  <c r="L150" i="1" s="1"/>
  <c r="N150" i="1" s="1"/>
  <c r="K151" i="1"/>
  <c r="L151" i="1" s="1"/>
  <c r="K152" i="1"/>
  <c r="L152" i="1" s="1"/>
  <c r="K153" i="1"/>
  <c r="L153" i="1" s="1"/>
  <c r="N153" i="1" s="1"/>
  <c r="K154" i="1"/>
  <c r="L154" i="1" s="1"/>
  <c r="N154" i="1" s="1"/>
  <c r="K155" i="1"/>
  <c r="L155" i="1" s="1"/>
  <c r="N155" i="1" s="1"/>
  <c r="K156" i="1"/>
  <c r="L156" i="1" s="1"/>
  <c r="K157" i="1"/>
  <c r="L157" i="1" s="1"/>
  <c r="K158" i="1"/>
  <c r="K159" i="1"/>
  <c r="K160" i="1"/>
  <c r="K161" i="1"/>
  <c r="K162" i="1"/>
  <c r="K163" i="1"/>
  <c r="K164" i="1"/>
  <c r="L164" i="1" s="1"/>
  <c r="K165" i="1"/>
  <c r="L165" i="1" s="1"/>
  <c r="K166" i="1"/>
  <c r="L166" i="1" s="1"/>
  <c r="K167" i="1"/>
  <c r="K168" i="1"/>
  <c r="K169" i="1"/>
  <c r="K170" i="1"/>
  <c r="L170" i="1" s="1"/>
  <c r="N170" i="1" s="1"/>
  <c r="K171" i="1"/>
  <c r="K172" i="1"/>
  <c r="M172" i="1" s="1"/>
  <c r="K173" i="1"/>
  <c r="K174" i="1"/>
  <c r="K175" i="1"/>
  <c r="K176" i="1"/>
  <c r="K177" i="1"/>
  <c r="K178" i="1"/>
  <c r="L178" i="1" s="1"/>
  <c r="K179" i="1"/>
  <c r="K180" i="1"/>
  <c r="L180" i="1" s="1"/>
  <c r="K181" i="1"/>
  <c r="L181" i="1" s="1"/>
  <c r="K182" i="1"/>
  <c r="L182" i="1" s="1"/>
  <c r="K183" i="1"/>
  <c r="L183" i="1" s="1"/>
  <c r="K184" i="1"/>
  <c r="K185" i="1"/>
  <c r="K186" i="1"/>
  <c r="L186" i="1" s="1"/>
  <c r="N186" i="1" s="1"/>
  <c r="K187" i="1"/>
  <c r="K188" i="1"/>
  <c r="K189" i="1"/>
  <c r="L189" i="1" s="1"/>
  <c r="K190" i="1"/>
  <c r="L190" i="1" s="1"/>
  <c r="N190" i="1" s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L204" i="1" s="1"/>
  <c r="N204" i="1" s="1"/>
  <c r="K205" i="1"/>
  <c r="L205" i="1" s="1"/>
  <c r="K206" i="1"/>
  <c r="L206" i="1" s="1"/>
  <c r="N206" i="1" s="1"/>
  <c r="K207" i="1"/>
  <c r="L207" i="1" s="1"/>
  <c r="N207" i="1" s="1"/>
  <c r="K208" i="1"/>
  <c r="L208" i="1" s="1"/>
  <c r="N208" i="1" s="1"/>
  <c r="K209" i="1"/>
  <c r="K210" i="1"/>
  <c r="K211" i="1"/>
  <c r="K212" i="1"/>
  <c r="L212" i="1" s="1"/>
  <c r="K213" i="1"/>
  <c r="L213" i="1" s="1"/>
  <c r="N213" i="1" s="1"/>
  <c r="K214" i="1"/>
  <c r="L214" i="1" s="1"/>
  <c r="N214" i="1" s="1"/>
  <c r="K215" i="1"/>
  <c r="L215" i="1" s="1"/>
  <c r="N215" i="1" s="1"/>
  <c r="K216" i="1"/>
  <c r="L216" i="1" s="1"/>
  <c r="N216" i="1" s="1"/>
  <c r="K217" i="1"/>
  <c r="L217" i="1" s="1"/>
  <c r="N217" i="1" s="1"/>
  <c r="K218" i="1"/>
  <c r="L218" i="1" s="1"/>
  <c r="N218" i="1" s="1"/>
  <c r="K219" i="1"/>
  <c r="K220" i="1"/>
  <c r="K221" i="1"/>
  <c r="K222" i="1"/>
  <c r="K223" i="1"/>
  <c r="K224" i="1"/>
  <c r="K225" i="1"/>
  <c r="L225" i="1" s="1"/>
  <c r="K226" i="1"/>
  <c r="K227" i="1"/>
  <c r="K228" i="1"/>
  <c r="K229" i="1"/>
  <c r="L229" i="1" s="1"/>
  <c r="K230" i="1"/>
  <c r="K231" i="1"/>
  <c r="K232" i="1"/>
  <c r="K233" i="1"/>
  <c r="K234" i="1"/>
  <c r="L234" i="1" s="1"/>
  <c r="N234" i="1" s="1"/>
  <c r="K235" i="1"/>
  <c r="K236" i="1"/>
  <c r="K237" i="1"/>
  <c r="L237" i="1" s="1"/>
  <c r="K238" i="1"/>
  <c r="L238" i="1" s="1"/>
  <c r="N238" i="1" s="1"/>
  <c r="K239" i="1"/>
  <c r="K240" i="1"/>
  <c r="K241" i="1"/>
  <c r="L241" i="1" s="1"/>
  <c r="K242" i="1"/>
  <c r="L242" i="1" s="1"/>
  <c r="K243" i="1"/>
  <c r="K244" i="1"/>
  <c r="K245" i="1"/>
  <c r="L245" i="1" s="1"/>
  <c r="K246" i="1"/>
  <c r="K247" i="1"/>
  <c r="K248" i="1"/>
  <c r="K249" i="1"/>
  <c r="K250" i="1"/>
  <c r="L250" i="1" s="1"/>
  <c r="N250" i="1" s="1"/>
  <c r="K251" i="1"/>
  <c r="K252" i="1"/>
  <c r="K253" i="1"/>
  <c r="L253" i="1" s="1"/>
  <c r="K254" i="1"/>
  <c r="L254" i="1" s="1"/>
  <c r="N254" i="1" s="1"/>
  <c r="K255" i="1"/>
  <c r="K256" i="1"/>
  <c r="K257" i="1"/>
  <c r="L257" i="1" s="1"/>
  <c r="K258" i="1"/>
  <c r="L258" i="1" s="1"/>
  <c r="K259" i="1"/>
  <c r="K260" i="1"/>
  <c r="L260" i="1" s="1"/>
  <c r="K261" i="1"/>
  <c r="L261" i="1" s="1"/>
  <c r="K262" i="1"/>
  <c r="L262" i="1" s="1"/>
  <c r="K263" i="1"/>
  <c r="K264" i="1"/>
  <c r="K265" i="1"/>
  <c r="K266" i="1"/>
  <c r="L266" i="1" s="1"/>
  <c r="N266" i="1" s="1"/>
  <c r="K267" i="1"/>
  <c r="K268" i="1"/>
  <c r="L268" i="1" s="1"/>
  <c r="N268" i="1" s="1"/>
  <c r="K269" i="1"/>
  <c r="K270" i="1"/>
  <c r="K271" i="1"/>
  <c r="K272" i="1"/>
  <c r="K273" i="1"/>
  <c r="K274" i="1"/>
  <c r="K275" i="1"/>
  <c r="K276" i="1"/>
  <c r="L276" i="1" s="1"/>
  <c r="K277" i="1"/>
  <c r="L277" i="1" s="1"/>
  <c r="N277" i="1" s="1"/>
  <c r="K278" i="1"/>
  <c r="L278" i="1" s="1"/>
  <c r="N278" i="1" s="1"/>
  <c r="K279" i="1"/>
  <c r="L279" i="1" s="1"/>
  <c r="N279" i="1" s="1"/>
  <c r="K280" i="1"/>
  <c r="L280" i="1" s="1"/>
  <c r="N280" i="1" s="1"/>
  <c r="K281" i="1"/>
  <c r="L281" i="1" s="1"/>
  <c r="N281" i="1" s="1"/>
  <c r="K282" i="1"/>
  <c r="L282" i="1" s="1"/>
  <c r="N282" i="1" s="1"/>
  <c r="K283" i="1"/>
  <c r="L283" i="1" s="1"/>
  <c r="K284" i="1"/>
  <c r="L284" i="1" s="1"/>
  <c r="K285" i="1"/>
  <c r="L285" i="1" s="1"/>
  <c r="K286" i="1"/>
  <c r="L286" i="1" s="1"/>
  <c r="N286" i="1" s="1"/>
  <c r="K287" i="1"/>
  <c r="K288" i="1"/>
  <c r="K289" i="1"/>
  <c r="K290" i="1"/>
  <c r="K291" i="1"/>
  <c r="K292" i="1"/>
  <c r="K293" i="1"/>
  <c r="K294" i="1"/>
  <c r="K295" i="1"/>
  <c r="K296" i="1"/>
  <c r="K297" i="1"/>
  <c r="K298" i="1"/>
  <c r="L298" i="1" s="1"/>
  <c r="N298" i="1" s="1"/>
  <c r="K299" i="1"/>
  <c r="K300" i="1"/>
  <c r="K301" i="1"/>
  <c r="L301" i="1" s="1"/>
  <c r="K302" i="1"/>
  <c r="L302" i="1" s="1"/>
  <c r="K303" i="1"/>
  <c r="L303" i="1" s="1"/>
  <c r="N303" i="1" s="1"/>
  <c r="K304" i="1"/>
  <c r="L304" i="1" s="1"/>
  <c r="N304" i="1" s="1"/>
  <c r="K305" i="1"/>
  <c r="K306" i="1"/>
  <c r="K307" i="1"/>
  <c r="K308" i="1"/>
  <c r="K309" i="1"/>
  <c r="L309" i="1" s="1"/>
  <c r="K310" i="1"/>
  <c r="L310" i="1" s="1"/>
  <c r="N310" i="1" s="1"/>
  <c r="K311" i="1"/>
  <c r="L311" i="1" s="1"/>
  <c r="N311" i="1" s="1"/>
  <c r="K312" i="1"/>
  <c r="L312" i="1" s="1"/>
  <c r="K313" i="1"/>
  <c r="L313" i="1" s="1"/>
  <c r="N313" i="1" s="1"/>
  <c r="K314" i="1"/>
  <c r="K315" i="1"/>
  <c r="L315" i="1" s="1"/>
  <c r="N315" i="1" s="1"/>
  <c r="K316" i="1"/>
  <c r="L316" i="1" s="1"/>
  <c r="N316" i="1" s="1"/>
  <c r="K317" i="1"/>
  <c r="K318" i="1"/>
  <c r="K319" i="1"/>
  <c r="K320" i="1"/>
  <c r="K321" i="1"/>
  <c r="L321" i="1" s="1"/>
  <c r="K322" i="1"/>
  <c r="L322" i="1" s="1"/>
  <c r="K323" i="1"/>
  <c r="K324" i="1"/>
  <c r="L324" i="1" s="1"/>
  <c r="K325" i="1"/>
  <c r="K326" i="1"/>
  <c r="K327" i="1"/>
  <c r="K328" i="1"/>
  <c r="K329" i="1"/>
  <c r="L329" i="1" s="1"/>
  <c r="N329" i="1" s="1"/>
  <c r="K330" i="1"/>
  <c r="K331" i="1"/>
  <c r="L331" i="1" s="1"/>
  <c r="K332" i="1"/>
  <c r="L332" i="1" s="1"/>
  <c r="N332" i="1" s="1"/>
  <c r="K333" i="1"/>
  <c r="L333" i="1" s="1"/>
  <c r="K334" i="1"/>
  <c r="L334" i="1" s="1"/>
  <c r="N334" i="1" s="1"/>
  <c r="K335" i="1"/>
  <c r="L335" i="1" s="1"/>
  <c r="N335" i="1" s="1"/>
  <c r="K336" i="1"/>
  <c r="L336" i="1" s="1"/>
  <c r="N336" i="1" s="1"/>
  <c r="K337" i="1"/>
  <c r="K338" i="1"/>
  <c r="L338" i="1" s="1"/>
  <c r="K339" i="1"/>
  <c r="K340" i="1"/>
  <c r="L340" i="1" s="1"/>
  <c r="K341" i="1"/>
  <c r="K342" i="1"/>
  <c r="L342" i="1" s="1"/>
  <c r="K343" i="1"/>
  <c r="K344" i="1"/>
  <c r="K345" i="1"/>
  <c r="K346" i="1"/>
  <c r="K347" i="1"/>
  <c r="K348" i="1"/>
  <c r="K349" i="1"/>
  <c r="L349" i="1" s="1"/>
  <c r="K350" i="1"/>
  <c r="L350" i="1" s="1"/>
  <c r="N350" i="1" s="1"/>
  <c r="K351" i="1"/>
  <c r="K352" i="1"/>
  <c r="K353" i="1"/>
  <c r="L353" i="1" s="1"/>
  <c r="K354" i="1"/>
  <c r="L354" i="1" s="1"/>
  <c r="N354" i="1" s="1"/>
  <c r="K355" i="1"/>
  <c r="K356" i="1"/>
  <c r="L356" i="1" s="1"/>
  <c r="N356" i="1" s="1"/>
  <c r="K357" i="1"/>
  <c r="K358" i="1"/>
  <c r="K359" i="1"/>
  <c r="K360" i="1"/>
  <c r="K361" i="1"/>
  <c r="L361" i="1" s="1"/>
  <c r="N361" i="1" s="1"/>
  <c r="K362" i="1"/>
  <c r="K363" i="1"/>
  <c r="K364" i="1"/>
  <c r="K365" i="1"/>
  <c r="L365" i="1" s="1"/>
  <c r="K366" i="1"/>
  <c r="L366" i="1" s="1"/>
  <c r="N366" i="1" s="1"/>
  <c r="K367" i="1"/>
  <c r="L367" i="1" s="1"/>
  <c r="N367" i="1" s="1"/>
  <c r="K368" i="1"/>
  <c r="L368" i="1" s="1"/>
  <c r="N368" i="1" s="1"/>
  <c r="K369" i="1"/>
  <c r="L369" i="1" s="1"/>
  <c r="N369" i="1" s="1"/>
  <c r="K370" i="1"/>
  <c r="L370" i="1" s="1"/>
  <c r="N370" i="1" s="1"/>
  <c r="K371" i="1"/>
  <c r="K372" i="1"/>
  <c r="L372" i="1" s="1"/>
  <c r="N372" i="1" s="1"/>
  <c r="K373" i="1"/>
  <c r="L373" i="1" s="1"/>
  <c r="N373" i="1" s="1"/>
  <c r="K374" i="1"/>
  <c r="K375" i="1"/>
  <c r="K376" i="1"/>
  <c r="K377" i="1"/>
  <c r="K378" i="1"/>
  <c r="L378" i="1" s="1"/>
  <c r="N378" i="1" s="1"/>
  <c r="K379" i="1"/>
  <c r="L379" i="1" s="1"/>
  <c r="N379" i="1" s="1"/>
  <c r="K380" i="1"/>
  <c r="M380" i="1" s="1"/>
  <c r="K381" i="1"/>
  <c r="M381" i="1" s="1"/>
  <c r="K382" i="1"/>
  <c r="M382" i="1" s="1"/>
  <c r="K383" i="1"/>
  <c r="K384" i="1"/>
  <c r="K385" i="1"/>
  <c r="L385" i="1" s="1"/>
  <c r="K386" i="1"/>
  <c r="L386" i="1" s="1"/>
  <c r="K387" i="1"/>
  <c r="K388" i="1"/>
  <c r="L388" i="1" s="1"/>
  <c r="K389" i="1"/>
  <c r="K390" i="1"/>
  <c r="K391" i="1"/>
  <c r="K392" i="1"/>
  <c r="L392" i="1" s="1"/>
  <c r="K393" i="1"/>
  <c r="L393" i="1" s="1"/>
  <c r="N393" i="1" s="1"/>
  <c r="K394" i="1"/>
  <c r="L394" i="1" s="1"/>
  <c r="N394" i="1" s="1"/>
  <c r="K395" i="1"/>
  <c r="L395" i="1" s="1"/>
  <c r="K396" i="1"/>
  <c r="K397" i="1"/>
  <c r="K398" i="1"/>
  <c r="K399" i="1"/>
  <c r="L399" i="1" s="1"/>
  <c r="K400" i="1"/>
  <c r="L400" i="1" s="1"/>
  <c r="K401" i="1"/>
  <c r="K402" i="1"/>
  <c r="K403" i="1"/>
  <c r="K404" i="1"/>
  <c r="L404" i="1" s="1"/>
  <c r="K405" i="1"/>
  <c r="L405" i="1" s="1"/>
  <c r="K406" i="1"/>
  <c r="K407" i="1"/>
  <c r="K408" i="1"/>
  <c r="K409" i="1"/>
  <c r="K410" i="1"/>
  <c r="L410" i="1" s="1"/>
  <c r="N410" i="1" s="1"/>
  <c r="K411" i="1"/>
  <c r="K412" i="1"/>
  <c r="K413" i="1"/>
  <c r="K414" i="1"/>
  <c r="K415" i="1"/>
  <c r="K416" i="1"/>
  <c r="L416" i="1" s="1"/>
  <c r="N416" i="1" s="1"/>
  <c r="K417" i="1"/>
  <c r="K418" i="1"/>
  <c r="K419" i="1"/>
  <c r="K420" i="1"/>
  <c r="K421" i="1"/>
  <c r="K422" i="1"/>
  <c r="L422" i="1" s="1"/>
  <c r="K423" i="1"/>
  <c r="L423" i="1" s="1"/>
  <c r="K424" i="1"/>
  <c r="L424" i="1" s="1"/>
  <c r="N424" i="1" s="1"/>
  <c r="K425" i="1"/>
  <c r="L425" i="1" s="1"/>
  <c r="N425" i="1" s="1"/>
  <c r="K426" i="1"/>
  <c r="L426" i="1" s="1"/>
  <c r="N426" i="1" s="1"/>
  <c r="K427" i="1"/>
  <c r="L427" i="1" s="1"/>
  <c r="N427" i="1" s="1"/>
  <c r="K428" i="1"/>
  <c r="L428" i="1" s="1"/>
  <c r="N428" i="1" s="1"/>
  <c r="K429" i="1"/>
  <c r="L429" i="1" s="1"/>
  <c r="O429" i="1" s="1"/>
  <c r="K430" i="1"/>
  <c r="K431" i="1"/>
  <c r="K432" i="1"/>
  <c r="K433" i="1"/>
  <c r="L433" i="1" s="1"/>
  <c r="N433" i="1" s="1"/>
  <c r="K434" i="1"/>
  <c r="L434" i="1" s="1"/>
  <c r="N434" i="1" s="1"/>
  <c r="K435" i="1"/>
  <c r="K436" i="1"/>
  <c r="L436" i="1" s="1"/>
  <c r="N436" i="1" s="1"/>
  <c r="K437" i="1"/>
  <c r="K438" i="1"/>
  <c r="K439" i="1"/>
  <c r="L439" i="1" s="1"/>
  <c r="N439" i="1" s="1"/>
  <c r="K440" i="1"/>
  <c r="L440" i="1" s="1"/>
  <c r="N440" i="1" s="1"/>
  <c r="K441" i="1"/>
  <c r="L441" i="1" s="1"/>
  <c r="N441" i="1" s="1"/>
  <c r="K442" i="1"/>
  <c r="K443" i="1"/>
  <c r="L443" i="1" s="1"/>
  <c r="O443" i="1" s="1"/>
  <c r="K444" i="1"/>
  <c r="L444" i="1" s="1"/>
  <c r="N444" i="1" s="1"/>
  <c r="K445" i="1"/>
  <c r="L445" i="1" s="1"/>
  <c r="K446" i="1"/>
  <c r="L446" i="1" s="1"/>
  <c r="N446" i="1" s="1"/>
  <c r="K447" i="1"/>
  <c r="L447" i="1" s="1"/>
  <c r="N447" i="1" s="1"/>
  <c r="K448" i="1"/>
  <c r="K449" i="1"/>
  <c r="K450" i="1"/>
  <c r="L450" i="1" s="1"/>
  <c r="K451" i="1"/>
  <c r="K452" i="1"/>
  <c r="L452" i="1" s="1"/>
  <c r="K453" i="1"/>
  <c r="K454" i="1"/>
  <c r="L454" i="1" s="1"/>
  <c r="N454" i="1" s="1"/>
  <c r="K455" i="1"/>
  <c r="L455" i="1" s="1"/>
  <c r="N455" i="1" s="1"/>
  <c r="K456" i="1"/>
  <c r="K457" i="1"/>
  <c r="M457" i="1" s="1"/>
  <c r="K458" i="1"/>
  <c r="L458" i="1" s="1"/>
  <c r="N458" i="1" s="1"/>
  <c r="K459" i="1"/>
  <c r="K460" i="1"/>
  <c r="K461" i="1"/>
  <c r="K462" i="1"/>
  <c r="K463" i="1"/>
  <c r="L463" i="1" s="1"/>
  <c r="N463" i="1" s="1"/>
  <c r="K464" i="1"/>
  <c r="L464" i="1" s="1"/>
  <c r="K465" i="1"/>
  <c r="K466" i="1"/>
  <c r="K467" i="1"/>
  <c r="K468" i="1"/>
  <c r="K469" i="1"/>
  <c r="L469" i="1" s="1"/>
  <c r="K470" i="1"/>
  <c r="K471" i="1"/>
  <c r="L471" i="1" s="1"/>
  <c r="K472" i="1"/>
  <c r="L472" i="1" s="1"/>
  <c r="K473" i="1"/>
  <c r="L473" i="1" s="1"/>
  <c r="N473" i="1" s="1"/>
  <c r="K474" i="1"/>
  <c r="L474" i="1" s="1"/>
  <c r="N474" i="1" s="1"/>
  <c r="K475" i="1"/>
  <c r="L475" i="1" s="1"/>
  <c r="N475" i="1" s="1"/>
  <c r="K476" i="1"/>
  <c r="M476" i="1" s="1"/>
  <c r="K477" i="1"/>
  <c r="M477" i="1" s="1"/>
  <c r="K478" i="1"/>
  <c r="K479" i="1"/>
  <c r="K480" i="1"/>
  <c r="K481" i="1"/>
  <c r="K482" i="1"/>
  <c r="K483" i="1"/>
  <c r="K484" i="1"/>
  <c r="L484" i="1" s="1"/>
  <c r="N484" i="1" s="1"/>
  <c r="K485" i="1"/>
  <c r="K486" i="1"/>
  <c r="K487" i="1"/>
  <c r="K488" i="1"/>
  <c r="K489" i="1"/>
  <c r="L489" i="1" s="1"/>
  <c r="N489" i="1" s="1"/>
  <c r="K490" i="1"/>
  <c r="L490" i="1" s="1"/>
  <c r="N490" i="1" s="1"/>
  <c r="K491" i="1"/>
  <c r="L491" i="1" s="1"/>
  <c r="N491" i="1" s="1"/>
  <c r="K492" i="1"/>
  <c r="L492" i="1" s="1"/>
  <c r="N492" i="1" s="1"/>
  <c r="K493" i="1"/>
  <c r="L493" i="1" s="1"/>
  <c r="K494" i="1"/>
  <c r="L494" i="1" s="1"/>
  <c r="N494" i="1" s="1"/>
  <c r="K495" i="1"/>
  <c r="L495" i="1" s="1"/>
  <c r="N495" i="1" s="1"/>
  <c r="K496" i="1"/>
  <c r="K497" i="1"/>
  <c r="K498" i="1"/>
  <c r="K499" i="1"/>
  <c r="K500" i="1"/>
  <c r="L500" i="1" s="1"/>
  <c r="N500" i="1" s="1"/>
  <c r="K501" i="1"/>
  <c r="L501" i="1" s="1"/>
  <c r="N501" i="1" s="1"/>
  <c r="K502" i="1"/>
  <c r="L502" i="1" s="1"/>
  <c r="N502" i="1" s="1"/>
  <c r="K503" i="1"/>
  <c r="L503" i="1" s="1"/>
  <c r="K504" i="1"/>
  <c r="L504" i="1" s="1"/>
  <c r="K505" i="1"/>
  <c r="K506" i="1"/>
  <c r="L506" i="1" s="1"/>
  <c r="N506" i="1" s="1"/>
  <c r="K507" i="1"/>
  <c r="K508" i="1"/>
  <c r="K509" i="1"/>
  <c r="K510" i="1"/>
  <c r="L510" i="1" s="1"/>
  <c r="K511" i="1"/>
  <c r="L511" i="1" s="1"/>
  <c r="K512" i="1"/>
  <c r="L512" i="1" s="1"/>
  <c r="N512" i="1" s="1"/>
  <c r="K513" i="1"/>
  <c r="K514" i="1"/>
  <c r="K515" i="1"/>
  <c r="K516" i="1"/>
  <c r="K517" i="1"/>
  <c r="K518" i="1"/>
  <c r="K519" i="1"/>
  <c r="K520" i="1"/>
  <c r="L520" i="1" s="1"/>
  <c r="K521" i="1"/>
  <c r="L521" i="1" s="1"/>
  <c r="N521" i="1" s="1"/>
  <c r="K522" i="1"/>
  <c r="L522" i="1" s="1"/>
  <c r="N522" i="1" s="1"/>
  <c r="K523" i="1"/>
  <c r="L523" i="1" s="1"/>
  <c r="K524" i="1"/>
  <c r="L524" i="1" s="1"/>
  <c r="N524" i="1" s="1"/>
  <c r="K525" i="1"/>
  <c r="L525" i="1" s="1"/>
  <c r="K526" i="1"/>
  <c r="L526" i="1" s="1"/>
  <c r="N526" i="1" s="1"/>
  <c r="K527" i="1"/>
  <c r="L527" i="1" s="1"/>
  <c r="N527" i="1" s="1"/>
  <c r="K528" i="1"/>
  <c r="L528" i="1" s="1"/>
  <c r="N528" i="1" s="1"/>
  <c r="K529" i="1"/>
  <c r="L529" i="1" s="1"/>
  <c r="K530" i="1"/>
  <c r="K531" i="1"/>
  <c r="K532" i="1"/>
  <c r="L532" i="1" s="1"/>
  <c r="K533" i="1"/>
  <c r="K534" i="1"/>
  <c r="K535" i="1"/>
  <c r="K536" i="1"/>
  <c r="K537" i="1"/>
  <c r="K538" i="1"/>
  <c r="L538" i="1" s="1"/>
  <c r="N538" i="1" s="1"/>
  <c r="K539" i="1"/>
  <c r="K540" i="1"/>
  <c r="K541" i="1"/>
  <c r="L541" i="1" s="1"/>
  <c r="O541" i="1" s="1"/>
  <c r="K542" i="1"/>
  <c r="L542" i="1" s="1"/>
  <c r="K543" i="1"/>
  <c r="K544" i="1"/>
  <c r="K545" i="1"/>
  <c r="K546" i="1"/>
  <c r="L546" i="1" s="1"/>
  <c r="K547" i="1"/>
  <c r="K548" i="1"/>
  <c r="L548" i="1" s="1"/>
  <c r="N548" i="1" s="1"/>
  <c r="K549" i="1"/>
  <c r="L549" i="1" s="1"/>
  <c r="N549" i="1" s="1"/>
  <c r="K550" i="1"/>
  <c r="L550" i="1" s="1"/>
  <c r="N550" i="1" s="1"/>
  <c r="K551" i="1"/>
  <c r="K552" i="1"/>
  <c r="K553" i="1"/>
  <c r="K554" i="1"/>
  <c r="L554" i="1" s="1"/>
  <c r="N554" i="1" s="1"/>
  <c r="K555" i="1"/>
  <c r="K556" i="1"/>
  <c r="L556" i="1" s="1"/>
  <c r="N556" i="1" s="1"/>
  <c r="K557" i="1"/>
  <c r="L557" i="1" s="1"/>
  <c r="K558" i="1"/>
  <c r="L558" i="1" s="1"/>
  <c r="K559" i="1"/>
  <c r="L559" i="1" s="1"/>
  <c r="K560" i="1"/>
  <c r="L560" i="1" s="1"/>
  <c r="K561" i="1"/>
  <c r="L561" i="1" s="1"/>
  <c r="N561" i="1" s="1"/>
  <c r="K562" i="1"/>
  <c r="L562" i="1" s="1"/>
  <c r="N562" i="1" s="1"/>
  <c r="K563" i="1"/>
  <c r="K564" i="1"/>
  <c r="L564" i="1" s="1"/>
  <c r="N564" i="1" s="1"/>
  <c r="K565" i="1"/>
  <c r="L565" i="1" s="1"/>
  <c r="N565" i="1" s="1"/>
  <c r="K566" i="1"/>
  <c r="K567" i="1"/>
  <c r="K568" i="1"/>
  <c r="K569" i="1"/>
  <c r="K570" i="1"/>
  <c r="L570" i="1" s="1"/>
  <c r="N570" i="1" s="1"/>
  <c r="K571" i="1"/>
  <c r="K572" i="1"/>
  <c r="K573" i="1"/>
  <c r="K574" i="1"/>
  <c r="L574" i="1" s="1"/>
  <c r="N574" i="1" s="1"/>
  <c r="K575" i="1"/>
  <c r="L575" i="1" s="1"/>
  <c r="K576" i="1"/>
  <c r="L576" i="1" s="1"/>
  <c r="K577" i="1"/>
  <c r="L577" i="1" s="1"/>
  <c r="K578" i="1"/>
  <c r="L578" i="1" s="1"/>
  <c r="K579" i="1"/>
  <c r="K580" i="1"/>
  <c r="K581" i="1"/>
  <c r="L581" i="1" s="1"/>
  <c r="N581" i="1" s="1"/>
  <c r="K582" i="1"/>
  <c r="L582" i="1" s="1"/>
  <c r="K583" i="1"/>
  <c r="L583" i="1" s="1"/>
  <c r="K584" i="1"/>
  <c r="L584" i="1" s="1"/>
  <c r="K585" i="1"/>
  <c r="L585" i="1" s="1"/>
  <c r="N585" i="1" s="1"/>
  <c r="K586" i="1"/>
  <c r="K587" i="1"/>
  <c r="L587" i="1" s="1"/>
  <c r="N587" i="1" s="1"/>
  <c r="K588" i="1"/>
  <c r="K589" i="1"/>
  <c r="K590" i="1"/>
  <c r="K591" i="1"/>
  <c r="L591" i="1" s="1"/>
  <c r="N591" i="1" s="1"/>
  <c r="K592" i="1"/>
  <c r="K593" i="1"/>
  <c r="K594" i="1"/>
  <c r="K595" i="1"/>
  <c r="K596" i="1"/>
  <c r="K597" i="1"/>
  <c r="L597" i="1" s="1"/>
  <c r="K598" i="1"/>
  <c r="K599" i="1"/>
  <c r="K600" i="1"/>
  <c r="L600" i="1" s="1"/>
  <c r="K601" i="1"/>
  <c r="L601" i="1" s="1"/>
  <c r="N601" i="1" s="1"/>
  <c r="K602" i="1"/>
  <c r="K603" i="1"/>
  <c r="K604" i="1"/>
  <c r="L604" i="1" s="1"/>
  <c r="N604" i="1" s="1"/>
  <c r="K605" i="1"/>
  <c r="L605" i="1" s="1"/>
  <c r="K606" i="1"/>
  <c r="L606" i="1" s="1"/>
  <c r="N606" i="1" s="1"/>
  <c r="K607" i="1"/>
  <c r="K608" i="1"/>
  <c r="K609" i="1"/>
  <c r="K610" i="1"/>
  <c r="K611" i="1"/>
  <c r="K612" i="1"/>
  <c r="L612" i="1" s="1"/>
  <c r="K613" i="1"/>
  <c r="L613" i="1" s="1"/>
  <c r="K614" i="1"/>
  <c r="K615" i="1"/>
  <c r="K616" i="1"/>
  <c r="K617" i="1"/>
  <c r="K618" i="1"/>
  <c r="L618" i="1" s="1"/>
  <c r="N618" i="1" s="1"/>
  <c r="K619" i="1"/>
  <c r="K620" i="1"/>
  <c r="K621" i="1"/>
  <c r="L621" i="1" s="1"/>
  <c r="K622" i="1"/>
  <c r="L622" i="1" s="1"/>
  <c r="O622" i="1" s="1"/>
  <c r="K623" i="1"/>
  <c r="K624" i="1"/>
  <c r="L624" i="1" s="1"/>
  <c r="N624" i="1" s="1"/>
  <c r="K625" i="1"/>
  <c r="L625" i="1" s="1"/>
  <c r="N625" i="1" s="1"/>
  <c r="K626" i="1"/>
  <c r="L626" i="1" s="1"/>
  <c r="N626" i="1" s="1"/>
  <c r="K627" i="1"/>
  <c r="K628" i="1"/>
  <c r="K629" i="1"/>
  <c r="L629" i="1" s="1"/>
  <c r="N629" i="1" s="1"/>
  <c r="K630" i="1"/>
  <c r="L630" i="1" s="1"/>
  <c r="N630" i="1" s="1"/>
  <c r="K631" i="1"/>
  <c r="L631" i="1" s="1"/>
  <c r="K632" i="1"/>
  <c r="K633" i="1"/>
  <c r="K634" i="1"/>
  <c r="L634" i="1" s="1"/>
  <c r="N634" i="1" s="1"/>
  <c r="K635" i="1"/>
  <c r="K636" i="1"/>
  <c r="K637" i="1"/>
  <c r="K638" i="1"/>
  <c r="K639" i="1"/>
  <c r="K640" i="1"/>
  <c r="K641" i="1"/>
  <c r="K642" i="1"/>
  <c r="K643" i="1"/>
  <c r="K644" i="1"/>
  <c r="K645" i="1"/>
  <c r="L645" i="1" s="1"/>
  <c r="K646" i="1"/>
  <c r="K647" i="1"/>
  <c r="K648" i="1"/>
  <c r="L648" i="1" s="1"/>
  <c r="N648" i="1" s="1"/>
  <c r="K649" i="1"/>
  <c r="L649" i="1" s="1"/>
  <c r="N649" i="1" s="1"/>
  <c r="K650" i="1"/>
  <c r="L650" i="1" s="1"/>
  <c r="N650" i="1" s="1"/>
  <c r="K651" i="1"/>
  <c r="L651" i="1" s="1"/>
  <c r="K652" i="1"/>
  <c r="M652" i="1" s="1"/>
  <c r="K653" i="1"/>
  <c r="K654" i="1"/>
  <c r="K655" i="1"/>
  <c r="K656" i="1"/>
  <c r="K657" i="1"/>
  <c r="K658" i="1"/>
  <c r="L658" i="1" s="1"/>
  <c r="N658" i="1" s="1"/>
  <c r="K659" i="1"/>
  <c r="K660" i="1"/>
  <c r="L660" i="1" s="1"/>
  <c r="K661" i="1"/>
  <c r="K662" i="1"/>
  <c r="K663" i="1"/>
  <c r="K664" i="1"/>
  <c r="L664" i="1" s="1"/>
  <c r="K665" i="1"/>
  <c r="L665" i="1" s="1"/>
  <c r="N665" i="1" s="1"/>
  <c r="K666" i="1"/>
  <c r="L666" i="1" s="1"/>
  <c r="N666" i="1" s="1"/>
  <c r="K667" i="1"/>
  <c r="L667" i="1" s="1"/>
  <c r="K668" i="1"/>
  <c r="M668" i="1" s="1"/>
  <c r="K669" i="1"/>
  <c r="L669" i="1" s="1"/>
  <c r="K670" i="1"/>
  <c r="K671" i="1"/>
  <c r="K672" i="1"/>
  <c r="L672" i="1" s="1"/>
  <c r="N672" i="1" s="1"/>
  <c r="K673" i="1"/>
  <c r="L673" i="1" s="1"/>
  <c r="K674" i="1"/>
  <c r="L674" i="1" s="1"/>
  <c r="K675" i="1"/>
  <c r="K676" i="1"/>
  <c r="L676" i="1" s="1"/>
  <c r="K677" i="1"/>
  <c r="L677" i="1" s="1"/>
  <c r="K678" i="1"/>
  <c r="L678" i="1" s="1"/>
  <c r="N678" i="1" s="1"/>
  <c r="K679" i="1"/>
  <c r="L679" i="1" s="1"/>
  <c r="N679" i="1" s="1"/>
  <c r="K680" i="1"/>
  <c r="L680" i="1" s="1"/>
  <c r="N680" i="1" s="1"/>
  <c r="K681" i="1"/>
  <c r="K682" i="1"/>
  <c r="L682" i="1" s="1"/>
  <c r="N682" i="1" s="1"/>
  <c r="K683" i="1"/>
  <c r="K684" i="1"/>
  <c r="K685" i="1"/>
  <c r="K686" i="1"/>
  <c r="K687" i="1"/>
  <c r="K688" i="1"/>
  <c r="K689" i="1"/>
  <c r="L689" i="1" s="1"/>
  <c r="N689" i="1" s="1"/>
  <c r="K690" i="1"/>
  <c r="L690" i="1" s="1"/>
  <c r="N690" i="1" s="1"/>
  <c r="K691" i="1"/>
  <c r="K692" i="1"/>
  <c r="L692" i="1" s="1"/>
  <c r="K693" i="1"/>
  <c r="K694" i="1"/>
  <c r="K695" i="1"/>
  <c r="K696" i="1"/>
  <c r="K697" i="1"/>
  <c r="L697" i="1" s="1"/>
  <c r="N697" i="1" s="1"/>
  <c r="K698" i="1"/>
  <c r="K699" i="1"/>
  <c r="K700" i="1"/>
  <c r="L700" i="1" s="1"/>
  <c r="N700" i="1" s="1"/>
  <c r="K701" i="1"/>
  <c r="L701" i="1" s="1"/>
  <c r="K702" i="1"/>
  <c r="L702" i="1" s="1"/>
  <c r="N702" i="1" s="1"/>
  <c r="K703" i="1"/>
  <c r="L703" i="1" s="1"/>
  <c r="N703" i="1" s="1"/>
  <c r="K704" i="1"/>
  <c r="K705" i="1"/>
  <c r="K706" i="1"/>
  <c r="L706" i="1" s="1"/>
  <c r="K707" i="1"/>
  <c r="K708" i="1"/>
  <c r="K709" i="1"/>
  <c r="L709" i="1" s="1"/>
  <c r="N709" i="1" s="1"/>
  <c r="K710" i="1"/>
  <c r="L710" i="1" s="1"/>
  <c r="N710" i="1" s="1"/>
  <c r="K711" i="1"/>
  <c r="K712" i="1"/>
  <c r="K713" i="1"/>
  <c r="K714" i="1"/>
  <c r="L714" i="1" s="1"/>
  <c r="N714" i="1" s="1"/>
  <c r="K715" i="1"/>
  <c r="K716" i="1"/>
  <c r="M716" i="1" s="1"/>
  <c r="K717" i="1"/>
  <c r="L717" i="1" s="1"/>
  <c r="O717" i="1" s="1"/>
  <c r="K718" i="1"/>
  <c r="L718" i="1" s="1"/>
  <c r="N718" i="1" s="1"/>
  <c r="K719" i="1"/>
  <c r="K720" i="1"/>
  <c r="K721" i="1"/>
  <c r="K722" i="1"/>
  <c r="K723" i="1"/>
  <c r="K724" i="1"/>
  <c r="K725" i="1"/>
  <c r="L725" i="1" s="1"/>
  <c r="K726" i="1"/>
  <c r="K727" i="1"/>
  <c r="L727" i="1" s="1"/>
  <c r="N727" i="1" s="1"/>
  <c r="K728" i="1"/>
  <c r="L728" i="1" s="1"/>
  <c r="K729" i="1"/>
  <c r="M729" i="1" s="1"/>
  <c r="K730" i="1"/>
  <c r="L730" i="1" s="1"/>
  <c r="N730" i="1" s="1"/>
  <c r="K731" i="1"/>
  <c r="L731" i="1" s="1"/>
  <c r="N731" i="1" s="1"/>
  <c r="K732" i="1"/>
  <c r="M732" i="1" s="1"/>
  <c r="K733" i="1"/>
  <c r="L733" i="1" s="1"/>
  <c r="K734" i="1"/>
  <c r="L734" i="1" s="1"/>
  <c r="K735" i="1"/>
  <c r="K736" i="1"/>
  <c r="K737" i="1"/>
  <c r="K738" i="1"/>
  <c r="K739" i="1"/>
  <c r="K740" i="1"/>
  <c r="M740" i="1" s="1"/>
  <c r="K741" i="1"/>
  <c r="K742" i="1"/>
  <c r="K743" i="1"/>
  <c r="K744" i="1"/>
  <c r="K745" i="1"/>
  <c r="K746" i="1"/>
  <c r="L746" i="1" s="1"/>
  <c r="N746" i="1" s="1"/>
  <c r="K747" i="1"/>
  <c r="K748" i="1"/>
  <c r="K749" i="1"/>
  <c r="L749" i="1" s="1"/>
  <c r="K750" i="1"/>
  <c r="L750" i="1" s="1"/>
  <c r="N750" i="1" s="1"/>
  <c r="K751" i="1"/>
  <c r="L751" i="1" s="1"/>
  <c r="N751" i="1" s="1"/>
  <c r="K752" i="1"/>
  <c r="L752" i="1" s="1"/>
  <c r="N752" i="1" s="1"/>
  <c r="K753" i="1"/>
  <c r="L753" i="1" s="1"/>
  <c r="K754" i="1"/>
  <c r="K755" i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K762" i="1"/>
  <c r="L762" i="1" s="1"/>
  <c r="N762" i="1" s="1"/>
  <c r="K763" i="1"/>
  <c r="K764" i="1"/>
  <c r="K765" i="1"/>
  <c r="L765" i="1" s="1"/>
  <c r="K766" i="1"/>
  <c r="L766" i="1" s="1"/>
  <c r="N766" i="1" s="1"/>
  <c r="K767" i="1"/>
  <c r="L767" i="1" s="1"/>
  <c r="N767" i="1" s="1"/>
  <c r="K768" i="1"/>
  <c r="L768" i="1" s="1"/>
  <c r="N768" i="1" s="1"/>
  <c r="K769" i="1"/>
  <c r="L769" i="1" s="1"/>
  <c r="N769" i="1" s="1"/>
  <c r="K770" i="1"/>
  <c r="L770" i="1" s="1"/>
  <c r="N770" i="1" s="1"/>
  <c r="K771" i="1"/>
  <c r="K772" i="1"/>
  <c r="L772" i="1" s="1"/>
  <c r="N772" i="1" s="1"/>
  <c r="K773" i="1"/>
  <c r="L773" i="1" s="1"/>
  <c r="N773" i="1" s="1"/>
  <c r="K774" i="1"/>
  <c r="L774" i="1" s="1"/>
  <c r="N774" i="1" s="1"/>
  <c r="K775" i="1"/>
  <c r="K776" i="1"/>
  <c r="K777" i="1"/>
  <c r="K778" i="1"/>
  <c r="L778" i="1" s="1"/>
  <c r="N778" i="1" s="1"/>
  <c r="K779" i="1"/>
  <c r="K780" i="1"/>
  <c r="L780" i="1" s="1"/>
  <c r="K781" i="1"/>
  <c r="L781" i="1" s="1"/>
  <c r="K782" i="1"/>
  <c r="L782" i="1" s="1"/>
  <c r="N782" i="1" s="1"/>
  <c r="K783" i="1"/>
  <c r="K784" i="1"/>
  <c r="K785" i="1"/>
  <c r="L785" i="1" s="1"/>
  <c r="N785" i="1" s="1"/>
  <c r="K786" i="1"/>
  <c r="L786" i="1" s="1"/>
  <c r="N786" i="1" s="1"/>
  <c r="K787" i="1"/>
  <c r="K788" i="1"/>
  <c r="L788" i="1" s="1"/>
  <c r="K789" i="1"/>
  <c r="L789" i="1" s="1"/>
  <c r="K790" i="1"/>
  <c r="K791" i="1"/>
  <c r="K792" i="1"/>
  <c r="K793" i="1"/>
  <c r="K794" i="1"/>
  <c r="L794" i="1" s="1"/>
  <c r="N794" i="1" s="1"/>
  <c r="K795" i="1"/>
  <c r="K796" i="1"/>
  <c r="L796" i="1" s="1"/>
  <c r="K797" i="1"/>
  <c r="L797" i="1" s="1"/>
  <c r="K798" i="1"/>
  <c r="L798" i="1" s="1"/>
  <c r="K799" i="1"/>
  <c r="K800" i="1"/>
  <c r="K801" i="1"/>
  <c r="K802" i="1"/>
  <c r="L802" i="1" s="1"/>
  <c r="N802" i="1" s="1"/>
  <c r="K803" i="1"/>
  <c r="K804" i="1"/>
  <c r="L804" i="1" s="1"/>
  <c r="K805" i="1"/>
  <c r="K806" i="1"/>
  <c r="K807" i="1"/>
  <c r="K808" i="1"/>
  <c r="L808" i="1" s="1"/>
  <c r="K809" i="1"/>
  <c r="L809" i="1" s="1"/>
  <c r="N809" i="1" s="1"/>
  <c r="K810" i="1"/>
  <c r="L810" i="1" s="1"/>
  <c r="N810" i="1" s="1"/>
  <c r="K811" i="1"/>
  <c r="L811" i="1" s="1"/>
  <c r="N811" i="1" s="1"/>
  <c r="K812" i="1"/>
  <c r="L812" i="1" s="1"/>
  <c r="N812" i="1" s="1"/>
  <c r="K813" i="1"/>
  <c r="L813" i="1" s="1"/>
  <c r="K814" i="1"/>
  <c r="L814" i="1" s="1"/>
  <c r="K815" i="1"/>
  <c r="L815" i="1" s="1"/>
  <c r="K816" i="1"/>
  <c r="L816" i="1" s="1"/>
  <c r="K817" i="1"/>
  <c r="L817" i="1" s="1"/>
  <c r="N817" i="1" s="1"/>
  <c r="K818" i="1"/>
  <c r="L818" i="1" s="1"/>
  <c r="N818" i="1" s="1"/>
  <c r="K819" i="1"/>
  <c r="K820" i="1"/>
  <c r="L820" i="1" s="1"/>
  <c r="N820" i="1" s="1"/>
  <c r="K821" i="1"/>
  <c r="L821" i="1" s="1"/>
  <c r="N821" i="1" s="1"/>
  <c r="K822" i="1"/>
  <c r="K823" i="1"/>
  <c r="K824" i="1"/>
  <c r="K825" i="1"/>
  <c r="K826" i="1"/>
  <c r="L826" i="1" s="1"/>
  <c r="N826" i="1" s="1"/>
  <c r="K827" i="1"/>
  <c r="K828" i="1"/>
  <c r="K829" i="1"/>
  <c r="L829" i="1" s="1"/>
  <c r="K830" i="1"/>
  <c r="L830" i="1" s="1"/>
  <c r="N830" i="1" s="1"/>
  <c r="K831" i="1"/>
  <c r="L831" i="1" s="1"/>
  <c r="N831" i="1" s="1"/>
  <c r="K832" i="1"/>
  <c r="L832" i="1" s="1"/>
  <c r="K833" i="1"/>
  <c r="L833" i="1" s="1"/>
  <c r="K834" i="1"/>
  <c r="K835" i="1"/>
  <c r="K836" i="1"/>
  <c r="K837" i="1"/>
  <c r="L837" i="1" s="1"/>
  <c r="N837" i="1" s="1"/>
  <c r="K838" i="1"/>
  <c r="K839" i="1"/>
  <c r="K840" i="1"/>
  <c r="L840" i="1" s="1"/>
  <c r="N840" i="1" s="1"/>
  <c r="K841" i="1"/>
  <c r="K842" i="1"/>
  <c r="K843" i="1"/>
  <c r="K844" i="1"/>
  <c r="K845" i="1"/>
  <c r="K846" i="1"/>
  <c r="L846" i="1" s="1"/>
  <c r="K847" i="1"/>
  <c r="L847" i="1" s="1"/>
  <c r="N847" i="1" s="1"/>
  <c r="K848" i="1"/>
  <c r="K849" i="1"/>
  <c r="K850" i="1"/>
  <c r="L850" i="1" s="1"/>
  <c r="K851" i="1"/>
  <c r="K852" i="1"/>
  <c r="L852" i="1" s="1"/>
  <c r="K853" i="1"/>
  <c r="L853" i="1" s="1"/>
  <c r="K854" i="1"/>
  <c r="L854" i="1" s="1"/>
  <c r="N854" i="1" s="1"/>
  <c r="K855" i="1"/>
  <c r="L855" i="1" s="1"/>
  <c r="N855" i="1" s="1"/>
  <c r="K856" i="1"/>
  <c r="L856" i="1" s="1"/>
  <c r="K857" i="1"/>
  <c r="L857" i="1" s="1"/>
  <c r="N857" i="1" s="1"/>
  <c r="K858" i="1"/>
  <c r="K859" i="1"/>
  <c r="K860" i="1"/>
  <c r="L860" i="1" s="1"/>
  <c r="N860" i="1" s="1"/>
  <c r="K861" i="1"/>
  <c r="L861" i="1" s="1"/>
  <c r="K862" i="1"/>
  <c r="L862" i="1" s="1"/>
  <c r="N862" i="1" s="1"/>
  <c r="K863" i="1"/>
  <c r="L863" i="1" s="1"/>
  <c r="N863" i="1" s="1"/>
  <c r="K864" i="1"/>
  <c r="L864" i="1" s="1"/>
  <c r="N864" i="1" s="1"/>
  <c r="K865" i="1"/>
  <c r="L865" i="1" s="1"/>
  <c r="K866" i="1"/>
  <c r="L866" i="1" s="1"/>
  <c r="N866" i="1" s="1"/>
  <c r="K867" i="1"/>
  <c r="K868" i="1"/>
  <c r="L868" i="1" s="1"/>
  <c r="K869" i="1"/>
  <c r="L869" i="1" s="1"/>
  <c r="K870" i="1"/>
  <c r="K871" i="1"/>
  <c r="K872" i="1"/>
  <c r="K873" i="1"/>
  <c r="L873" i="1" s="1"/>
  <c r="N873" i="1" s="1"/>
  <c r="K874" i="1"/>
  <c r="L874" i="1" s="1"/>
  <c r="N874" i="1" s="1"/>
  <c r="K875" i="1"/>
  <c r="K876" i="1"/>
  <c r="K877" i="1"/>
  <c r="L877" i="1" s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L890" i="1" s="1"/>
  <c r="N890" i="1" s="1"/>
  <c r="K891" i="1"/>
  <c r="K892" i="1"/>
  <c r="K893" i="1"/>
  <c r="K894" i="1"/>
  <c r="K895" i="1"/>
  <c r="K896" i="1"/>
  <c r="K897" i="1"/>
  <c r="K898" i="1"/>
  <c r="K899" i="1"/>
  <c r="K900" i="1"/>
  <c r="L900" i="1" s="1"/>
  <c r="N900" i="1" s="1"/>
  <c r="K901" i="1"/>
  <c r="L901" i="1" s="1"/>
  <c r="N901" i="1" s="1"/>
  <c r="K902" i="1"/>
  <c r="K903" i="1"/>
  <c r="L903" i="1" s="1"/>
  <c r="N903" i="1" s="1"/>
  <c r="K904" i="1"/>
  <c r="L904" i="1" s="1"/>
  <c r="K905" i="1"/>
  <c r="L905" i="1" s="1"/>
  <c r="N905" i="1" s="1"/>
  <c r="K906" i="1"/>
  <c r="L906" i="1" s="1"/>
  <c r="N906" i="1" s="1"/>
  <c r="K907" i="1"/>
  <c r="L907" i="1" s="1"/>
  <c r="K908" i="1"/>
  <c r="L908" i="1" s="1"/>
  <c r="N908" i="1" s="1"/>
  <c r="K909" i="1"/>
  <c r="K910" i="1"/>
  <c r="K911" i="1"/>
  <c r="L911" i="1" s="1"/>
  <c r="N911" i="1" s="1"/>
  <c r="K912" i="1"/>
  <c r="K913" i="1"/>
  <c r="K914" i="1"/>
  <c r="L914" i="1" s="1"/>
  <c r="N914" i="1" s="1"/>
  <c r="K915" i="1"/>
  <c r="K916" i="1"/>
  <c r="L916" i="1" s="1"/>
  <c r="N916" i="1" s="1"/>
  <c r="K917" i="1"/>
  <c r="L917" i="1" s="1"/>
  <c r="N917" i="1" s="1"/>
  <c r="K918" i="1"/>
  <c r="K919" i="1"/>
  <c r="K920" i="1"/>
  <c r="K921" i="1"/>
  <c r="L921" i="1" s="1"/>
  <c r="N921" i="1" s="1"/>
  <c r="K922" i="1"/>
  <c r="L922" i="1" s="1"/>
  <c r="N922" i="1" s="1"/>
  <c r="K923" i="1"/>
  <c r="L923" i="1" s="1"/>
  <c r="K924" i="1"/>
  <c r="L924" i="1" s="1"/>
  <c r="K925" i="1"/>
  <c r="L925" i="1" s="1"/>
  <c r="K926" i="1"/>
  <c r="K927" i="1"/>
  <c r="K928" i="1"/>
  <c r="L928" i="1" s="1"/>
  <c r="N928" i="1" s="1"/>
  <c r="K929" i="1"/>
  <c r="L929" i="1" s="1"/>
  <c r="N929" i="1" s="1"/>
  <c r="K930" i="1"/>
  <c r="L930" i="1" s="1"/>
  <c r="N930" i="1" s="1"/>
  <c r="K931" i="1"/>
  <c r="K932" i="1"/>
  <c r="L932" i="1" s="1"/>
  <c r="N932" i="1" s="1"/>
  <c r="K933" i="1"/>
  <c r="L933" i="1" s="1"/>
  <c r="N933" i="1" s="1"/>
  <c r="K934" i="1"/>
  <c r="K935" i="1"/>
  <c r="K936" i="1"/>
  <c r="K937" i="1"/>
  <c r="K938" i="1"/>
  <c r="K939" i="1"/>
  <c r="K940" i="1"/>
  <c r="L940" i="1" s="1"/>
  <c r="N940" i="1" s="1"/>
  <c r="K941" i="1"/>
  <c r="L941" i="1" s="1"/>
  <c r="K942" i="1"/>
  <c r="L942" i="1" s="1"/>
  <c r="K943" i="1"/>
  <c r="K944" i="1"/>
  <c r="K945" i="1"/>
  <c r="K946" i="1"/>
  <c r="L946" i="1" s="1"/>
  <c r="K947" i="1"/>
  <c r="K948" i="1"/>
  <c r="L948" i="1" s="1"/>
  <c r="K949" i="1"/>
  <c r="K950" i="1"/>
  <c r="K951" i="1"/>
  <c r="K952" i="1"/>
  <c r="L952" i="1" s="1"/>
  <c r="K953" i="1"/>
  <c r="L953" i="1" s="1"/>
  <c r="N953" i="1" s="1"/>
  <c r="K954" i="1"/>
  <c r="L954" i="1" s="1"/>
  <c r="N954" i="1" s="1"/>
  <c r="K955" i="1"/>
  <c r="L955" i="1" s="1"/>
  <c r="N955" i="1" s="1"/>
  <c r="K956" i="1"/>
  <c r="K957" i="1"/>
  <c r="M957" i="1" s="1"/>
  <c r="K958" i="1"/>
  <c r="M958" i="1" s="1"/>
  <c r="K959" i="1"/>
  <c r="L959" i="1" s="1"/>
  <c r="N959" i="1" s="1"/>
  <c r="K960" i="1"/>
  <c r="K961" i="1"/>
  <c r="K962" i="1"/>
  <c r="L962" i="1" s="1"/>
  <c r="K963" i="1"/>
  <c r="K964" i="1"/>
  <c r="L964" i="1" s="1"/>
  <c r="K965" i="1"/>
  <c r="L965" i="1" s="1"/>
  <c r="K966" i="1"/>
  <c r="L966" i="1" s="1"/>
  <c r="N966" i="1" s="1"/>
  <c r="K967" i="1"/>
  <c r="L967" i="1" s="1"/>
  <c r="N967" i="1" s="1"/>
  <c r="K968" i="1"/>
  <c r="L968" i="1" s="1"/>
  <c r="N968" i="1" s="1"/>
  <c r="K969" i="1"/>
  <c r="L969" i="1" s="1"/>
  <c r="N969" i="1" s="1"/>
  <c r="K970" i="1"/>
  <c r="L970" i="1" s="1"/>
  <c r="N970" i="1" s="1"/>
  <c r="K971" i="1"/>
  <c r="L971" i="1" s="1"/>
  <c r="N971" i="1" s="1"/>
  <c r="K972" i="1"/>
  <c r="K973" i="1"/>
  <c r="K974" i="1"/>
  <c r="K975" i="1"/>
  <c r="K976" i="1"/>
  <c r="K977" i="1"/>
  <c r="K978" i="1"/>
  <c r="K979" i="1"/>
  <c r="K980" i="1"/>
  <c r="L980" i="1" s="1"/>
  <c r="K981" i="1"/>
  <c r="K982" i="1"/>
  <c r="K983" i="1"/>
  <c r="K984" i="1"/>
  <c r="L984" i="1" s="1"/>
  <c r="N984" i="1" s="1"/>
  <c r="K985" i="1"/>
  <c r="L985" i="1" s="1"/>
  <c r="N985" i="1" s="1"/>
  <c r="K986" i="1"/>
  <c r="L986" i="1" s="1"/>
  <c r="N986" i="1" s="1"/>
  <c r="K987" i="1"/>
  <c r="L987" i="1" s="1"/>
  <c r="N987" i="1" s="1"/>
  <c r="K988" i="1"/>
  <c r="K989" i="1"/>
  <c r="L989" i="1" s="1"/>
  <c r="K990" i="1"/>
  <c r="L990" i="1" s="1"/>
  <c r="N990" i="1" s="1"/>
  <c r="K991" i="1"/>
  <c r="K992" i="1"/>
  <c r="L992" i="1" s="1"/>
  <c r="N992" i="1" s="1"/>
  <c r="K993" i="1"/>
  <c r="L993" i="1" s="1"/>
  <c r="K994" i="1"/>
  <c r="K995" i="1"/>
  <c r="K996" i="1"/>
  <c r="K997" i="1"/>
  <c r="L997" i="1" s="1"/>
  <c r="K998" i="1"/>
  <c r="K999" i="1"/>
  <c r="K1000" i="1"/>
  <c r="K1001" i="1"/>
  <c r="L958" i="1" l="1"/>
  <c r="M334" i="1"/>
  <c r="O268" i="1"/>
  <c r="O190" i="1"/>
  <c r="O439" i="1"/>
  <c r="L957" i="1"/>
  <c r="O957" i="1" s="1"/>
  <c r="O119" i="1"/>
  <c r="O356" i="1"/>
  <c r="O916" i="1"/>
  <c r="O768" i="1"/>
  <c r="O767" i="1"/>
  <c r="O679" i="1"/>
  <c r="O837" i="1"/>
  <c r="O678" i="1"/>
  <c r="O890" i="1"/>
  <c r="O874" i="1"/>
  <c r="O601" i="1"/>
  <c r="O361" i="1"/>
  <c r="O873" i="1"/>
  <c r="O587" i="1"/>
  <c r="O857" i="1"/>
  <c r="O585" i="1"/>
  <c r="O329" i="1"/>
  <c r="O313" i="1"/>
  <c r="O826" i="1"/>
  <c r="O570" i="1"/>
  <c r="O298" i="1"/>
  <c r="O565" i="1"/>
  <c r="O564" i="1"/>
  <c r="O266" i="1"/>
  <c r="O548" i="1"/>
  <c r="O250" i="1"/>
  <c r="O762" i="1"/>
  <c r="O489" i="1"/>
  <c r="O746" i="1"/>
  <c r="O475" i="1"/>
  <c r="O186" i="1"/>
  <c r="O730" i="1"/>
  <c r="O474" i="1"/>
  <c r="O170" i="1"/>
  <c r="O697" i="1"/>
  <c r="O473" i="1"/>
  <c r="O155" i="1"/>
  <c r="O985" i="1"/>
  <c r="O682" i="1"/>
  <c r="O458" i="1"/>
  <c r="O154" i="1"/>
  <c r="O984" i="1"/>
  <c r="O680" i="1"/>
  <c r="O440" i="1"/>
  <c r="O153" i="1"/>
  <c r="O354" i="1"/>
  <c r="O129" i="1"/>
  <c r="O812" i="1"/>
  <c r="O562" i="1"/>
  <c r="O127" i="1"/>
  <c r="O971" i="1"/>
  <c r="O811" i="1"/>
  <c r="O561" i="1"/>
  <c r="O434" i="1"/>
  <c r="O970" i="1"/>
  <c r="O810" i="1"/>
  <c r="O554" i="1"/>
  <c r="O433" i="1"/>
  <c r="O234" i="1"/>
  <c r="O969" i="1"/>
  <c r="O809" i="1"/>
  <c r="O426" i="1"/>
  <c r="O218" i="1"/>
  <c r="O114" i="1"/>
  <c r="O954" i="1"/>
  <c r="O794" i="1"/>
  <c r="O666" i="1"/>
  <c r="O538" i="1"/>
  <c r="O425" i="1"/>
  <c r="O217" i="1"/>
  <c r="O106" i="1"/>
  <c r="O953" i="1"/>
  <c r="O786" i="1"/>
  <c r="O665" i="1"/>
  <c r="O506" i="1"/>
  <c r="O410" i="1"/>
  <c r="O216" i="1"/>
  <c r="O105" i="1"/>
  <c r="O922" i="1"/>
  <c r="O785" i="1"/>
  <c r="O658" i="1"/>
  <c r="O492" i="1"/>
  <c r="O378" i="1"/>
  <c r="O215" i="1"/>
  <c r="O73" i="1"/>
  <c r="O921" i="1"/>
  <c r="O770" i="1"/>
  <c r="O634" i="1"/>
  <c r="O491" i="1"/>
  <c r="O369" i="1"/>
  <c r="O214" i="1"/>
  <c r="O42" i="1"/>
  <c r="O917" i="1"/>
  <c r="O769" i="1"/>
  <c r="O618" i="1"/>
  <c r="O490" i="1"/>
  <c r="O366" i="1"/>
  <c r="O213" i="1"/>
  <c r="O41" i="1"/>
  <c r="N952" i="1"/>
  <c r="O952" i="1"/>
  <c r="N584" i="1"/>
  <c r="O584" i="1"/>
  <c r="N392" i="1"/>
  <c r="O392" i="1"/>
  <c r="N72" i="1"/>
  <c r="O72" i="1"/>
  <c r="N471" i="1"/>
  <c r="O471" i="1"/>
  <c r="N423" i="1"/>
  <c r="O423" i="1"/>
  <c r="O967" i="1"/>
  <c r="O840" i="1"/>
  <c r="N582" i="1"/>
  <c r="O582" i="1"/>
  <c r="O966" i="1"/>
  <c r="O648" i="1"/>
  <c r="N965" i="1"/>
  <c r="O965" i="1"/>
  <c r="N677" i="1"/>
  <c r="O677" i="1"/>
  <c r="N245" i="1"/>
  <c r="O245" i="1"/>
  <c r="N181" i="1"/>
  <c r="O181" i="1"/>
  <c r="N21" i="1"/>
  <c r="O21" i="1"/>
  <c r="N948" i="1"/>
  <c r="O948" i="1"/>
  <c r="N804" i="1"/>
  <c r="O804" i="1"/>
  <c r="N676" i="1"/>
  <c r="O676" i="1"/>
  <c r="O821" i="1"/>
  <c r="O630" i="1"/>
  <c r="O55" i="1"/>
  <c r="O820" i="1"/>
  <c r="O279" i="1"/>
  <c r="N322" i="1"/>
  <c r="O322" i="1"/>
  <c r="N34" i="1"/>
  <c r="O34" i="1"/>
  <c r="O818" i="1"/>
  <c r="O278" i="1"/>
  <c r="N993" i="1"/>
  <c r="O993" i="1"/>
  <c r="N385" i="1"/>
  <c r="O385" i="1"/>
  <c r="N353" i="1"/>
  <c r="O353" i="1"/>
  <c r="O930" i="1"/>
  <c r="O625" i="1"/>
  <c r="O50" i="1"/>
  <c r="N904" i="1"/>
  <c r="O904" i="1"/>
  <c r="N856" i="1"/>
  <c r="O856" i="1"/>
  <c r="N728" i="1"/>
  <c r="O728" i="1"/>
  <c r="N504" i="1"/>
  <c r="O504" i="1"/>
  <c r="N312" i="1"/>
  <c r="O312" i="1"/>
  <c r="N152" i="1"/>
  <c r="O152" i="1"/>
  <c r="N104" i="1"/>
  <c r="O104" i="1"/>
  <c r="N583" i="1"/>
  <c r="O583" i="1"/>
  <c r="N23" i="1"/>
  <c r="O23" i="1"/>
  <c r="N342" i="1"/>
  <c r="O342" i="1"/>
  <c r="N789" i="1"/>
  <c r="O789" i="1"/>
  <c r="N405" i="1"/>
  <c r="O405" i="1"/>
  <c r="N229" i="1"/>
  <c r="O229" i="1"/>
  <c r="O69" i="1"/>
  <c r="N788" i="1"/>
  <c r="O788" i="1"/>
  <c r="O692" i="1"/>
  <c r="N692" i="1"/>
  <c r="N612" i="1"/>
  <c r="O612" i="1"/>
  <c r="O629" i="1"/>
  <c r="O54" i="1"/>
  <c r="N546" i="1"/>
  <c r="O546" i="1"/>
  <c r="N386" i="1"/>
  <c r="O386" i="1"/>
  <c r="N258" i="1"/>
  <c r="O258" i="1"/>
  <c r="N178" i="1"/>
  <c r="O178" i="1"/>
  <c r="O932" i="1"/>
  <c r="O424" i="1"/>
  <c r="N225" i="1"/>
  <c r="O225" i="1"/>
  <c r="O277" i="1"/>
  <c r="N808" i="1"/>
  <c r="O808" i="1"/>
  <c r="N760" i="1"/>
  <c r="O760" i="1"/>
  <c r="N664" i="1"/>
  <c r="O664" i="1"/>
  <c r="N600" i="1"/>
  <c r="O600" i="1"/>
  <c r="N520" i="1"/>
  <c r="O520" i="1"/>
  <c r="N472" i="1"/>
  <c r="O472" i="1"/>
  <c r="N40" i="1"/>
  <c r="O40" i="1"/>
  <c r="O968" i="1"/>
  <c r="N151" i="1"/>
  <c r="O151" i="1"/>
  <c r="N758" i="1"/>
  <c r="O758" i="1"/>
  <c r="N70" i="1"/>
  <c r="O70" i="1"/>
  <c r="O311" i="1"/>
  <c r="O310" i="1"/>
  <c r="N964" i="1"/>
  <c r="O964" i="1"/>
  <c r="N660" i="1"/>
  <c r="O660" i="1"/>
  <c r="N452" i="1"/>
  <c r="O452" i="1"/>
  <c r="N404" i="1"/>
  <c r="O404" i="1"/>
  <c r="N388" i="1"/>
  <c r="O388" i="1"/>
  <c r="L84" i="1"/>
  <c r="N84" i="1" s="1"/>
  <c r="M84" i="1"/>
  <c r="O933" i="1"/>
  <c r="N946" i="1"/>
  <c r="O946" i="1"/>
  <c r="N674" i="1"/>
  <c r="O674" i="1"/>
  <c r="O626" i="1"/>
  <c r="O53" i="1"/>
  <c r="N865" i="1"/>
  <c r="O865" i="1"/>
  <c r="N753" i="1"/>
  <c r="O753" i="1"/>
  <c r="N673" i="1"/>
  <c r="O673" i="1"/>
  <c r="N529" i="1"/>
  <c r="O529" i="1"/>
  <c r="N257" i="1"/>
  <c r="O257" i="1"/>
  <c r="N113" i="1"/>
  <c r="O113" i="1"/>
  <c r="N17" i="1"/>
  <c r="O17" i="1"/>
  <c r="O817" i="1"/>
  <c r="O710" i="1"/>
  <c r="O929" i="1"/>
  <c r="O709" i="1"/>
  <c r="O150" i="1"/>
  <c r="O49" i="1"/>
  <c r="O372" i="1"/>
  <c r="O146" i="1"/>
  <c r="O689" i="1"/>
  <c r="O484" i="1"/>
  <c r="O370" i="1"/>
  <c r="O130" i="1"/>
  <c r="O31" i="1"/>
  <c r="O30" i="1"/>
  <c r="O447" i="1"/>
  <c r="O316" i="1"/>
  <c r="O238" i="1"/>
  <c r="O94" i="1"/>
  <c r="O446" i="1"/>
  <c r="O315" i="1"/>
  <c r="O718" i="1"/>
  <c r="O495" i="1"/>
  <c r="O444" i="1"/>
  <c r="O986" i="1"/>
  <c r="O940" i="1"/>
  <c r="O847" i="1"/>
  <c r="O714" i="1"/>
  <c r="O494" i="1"/>
  <c r="O441" i="1"/>
  <c r="O10" i="1"/>
  <c r="O958" i="1"/>
  <c r="N958" i="1"/>
  <c r="N32" i="1"/>
  <c r="O32" i="1"/>
  <c r="N924" i="1"/>
  <c r="O924" i="1"/>
  <c r="N284" i="1"/>
  <c r="O284" i="1"/>
  <c r="O862" i="1"/>
  <c r="N667" i="1"/>
  <c r="O667" i="1"/>
  <c r="N523" i="1"/>
  <c r="O523" i="1"/>
  <c r="N717" i="1"/>
  <c r="O911" i="1"/>
  <c r="O606" i="1"/>
  <c r="O959" i="1"/>
  <c r="O830" i="1"/>
  <c r="O702" i="1"/>
  <c r="O604" i="1"/>
  <c r="O334" i="1"/>
  <c r="O48" i="1"/>
  <c r="O16" i="1"/>
  <c r="N816" i="1"/>
  <c r="O816" i="1"/>
  <c r="N576" i="1"/>
  <c r="O576" i="1"/>
  <c r="N144" i="1"/>
  <c r="O144" i="1"/>
  <c r="N815" i="1"/>
  <c r="O815" i="1"/>
  <c r="N559" i="1"/>
  <c r="O559" i="1"/>
  <c r="N47" i="1"/>
  <c r="O47" i="1"/>
  <c r="O368" i="1"/>
  <c r="N942" i="1"/>
  <c r="O942" i="1"/>
  <c r="N814" i="1"/>
  <c r="O814" i="1"/>
  <c r="N798" i="1"/>
  <c r="O798" i="1"/>
  <c r="N542" i="1"/>
  <c r="O542" i="1"/>
  <c r="N510" i="1"/>
  <c r="O510" i="1"/>
  <c r="N110" i="1"/>
  <c r="O110" i="1"/>
  <c r="N832" i="1"/>
  <c r="O832" i="1"/>
  <c r="N560" i="1"/>
  <c r="O560" i="1"/>
  <c r="N464" i="1"/>
  <c r="O464" i="1"/>
  <c r="N400" i="1"/>
  <c r="O400" i="1"/>
  <c r="M991" i="1"/>
  <c r="L991" i="1"/>
  <c r="N575" i="1"/>
  <c r="O575" i="1"/>
  <c r="N511" i="1"/>
  <c r="O511" i="1"/>
  <c r="N399" i="1"/>
  <c r="O399" i="1"/>
  <c r="O591" i="1"/>
  <c r="N846" i="1"/>
  <c r="O846" i="1"/>
  <c r="N734" i="1"/>
  <c r="O734" i="1"/>
  <c r="N558" i="1"/>
  <c r="O558" i="1"/>
  <c r="N302" i="1"/>
  <c r="O302" i="1"/>
  <c r="O864" i="1"/>
  <c r="O367" i="1"/>
  <c r="O208" i="1"/>
  <c r="N989" i="1"/>
  <c r="O989" i="1"/>
  <c r="N941" i="1"/>
  <c r="O941" i="1"/>
  <c r="N925" i="1"/>
  <c r="O925" i="1"/>
  <c r="N877" i="1"/>
  <c r="O877" i="1"/>
  <c r="O861" i="1"/>
  <c r="N861" i="1"/>
  <c r="N829" i="1"/>
  <c r="O829" i="1"/>
  <c r="N813" i="1"/>
  <c r="O813" i="1"/>
  <c r="N797" i="1"/>
  <c r="O797" i="1"/>
  <c r="N781" i="1"/>
  <c r="O781" i="1"/>
  <c r="N765" i="1"/>
  <c r="O765" i="1"/>
  <c r="N749" i="1"/>
  <c r="O749" i="1"/>
  <c r="N733" i="1"/>
  <c r="O733" i="1"/>
  <c r="N701" i="1"/>
  <c r="O701" i="1"/>
  <c r="N669" i="1"/>
  <c r="O669" i="1"/>
  <c r="N621" i="1"/>
  <c r="O621" i="1"/>
  <c r="N605" i="1"/>
  <c r="O605" i="1"/>
  <c r="N557" i="1"/>
  <c r="O557" i="1"/>
  <c r="N525" i="1"/>
  <c r="O525" i="1"/>
  <c r="N493" i="1"/>
  <c r="O493" i="1"/>
  <c r="N445" i="1"/>
  <c r="O445" i="1"/>
  <c r="N365" i="1"/>
  <c r="O365" i="1"/>
  <c r="N349" i="1"/>
  <c r="O349" i="1"/>
  <c r="N333" i="1"/>
  <c r="O333" i="1"/>
  <c r="N301" i="1"/>
  <c r="O301" i="1"/>
  <c r="N285" i="1"/>
  <c r="O285" i="1"/>
  <c r="N253" i="1"/>
  <c r="O253" i="1"/>
  <c r="O237" i="1"/>
  <c r="N237" i="1"/>
  <c r="N205" i="1"/>
  <c r="O205" i="1"/>
  <c r="N189" i="1"/>
  <c r="O189" i="1"/>
  <c r="N157" i="1"/>
  <c r="O157" i="1"/>
  <c r="N77" i="1"/>
  <c r="O77" i="1"/>
  <c r="N61" i="1"/>
  <c r="O61" i="1"/>
  <c r="N29" i="1"/>
  <c r="O29" i="1"/>
  <c r="O992" i="1"/>
  <c r="O863" i="1"/>
  <c r="O416" i="1"/>
  <c r="O207" i="1"/>
  <c r="N796" i="1"/>
  <c r="O796" i="1"/>
  <c r="N780" i="1"/>
  <c r="O780" i="1"/>
  <c r="N156" i="1"/>
  <c r="O156" i="1"/>
  <c r="N957" i="1"/>
  <c r="O463" i="1"/>
  <c r="O206" i="1"/>
  <c r="N923" i="1"/>
  <c r="O923" i="1"/>
  <c r="N907" i="1"/>
  <c r="O907" i="1"/>
  <c r="N651" i="1"/>
  <c r="O651" i="1"/>
  <c r="N395" i="1"/>
  <c r="O395" i="1"/>
  <c r="N331" i="1"/>
  <c r="O331" i="1"/>
  <c r="N283" i="1"/>
  <c r="O283" i="1"/>
  <c r="O990" i="1"/>
  <c r="O860" i="1"/>
  <c r="O512" i="1"/>
  <c r="O286" i="1"/>
  <c r="O204" i="1"/>
  <c r="O80" i="1"/>
  <c r="O731" i="1"/>
  <c r="O336" i="1"/>
  <c r="O254" i="1"/>
  <c r="O140" i="1"/>
  <c r="O112" i="1"/>
  <c r="O79" i="1"/>
  <c r="N622" i="1"/>
  <c r="O987" i="1"/>
  <c r="O831" i="1"/>
  <c r="O703" i="1"/>
  <c r="O556" i="1"/>
  <c r="O335" i="1"/>
  <c r="O111" i="1"/>
  <c r="O78" i="1"/>
  <c r="N541" i="1"/>
  <c r="O908" i="1"/>
  <c r="O782" i="1"/>
  <c r="N759" i="1"/>
  <c r="O759" i="1"/>
  <c r="N631" i="1"/>
  <c r="O631" i="1"/>
  <c r="N503" i="1"/>
  <c r="O503" i="1"/>
  <c r="N183" i="1"/>
  <c r="O183" i="1"/>
  <c r="N103" i="1"/>
  <c r="O103" i="1"/>
  <c r="N443" i="1"/>
  <c r="O955" i="1"/>
  <c r="O752" i="1"/>
  <c r="O700" i="1"/>
  <c r="O332" i="1"/>
  <c r="O304" i="1"/>
  <c r="O15" i="1"/>
  <c r="N422" i="1"/>
  <c r="O422" i="1"/>
  <c r="N262" i="1"/>
  <c r="O262" i="1"/>
  <c r="N182" i="1"/>
  <c r="O182" i="1"/>
  <c r="N166" i="1"/>
  <c r="O166" i="1"/>
  <c r="O903" i="1"/>
  <c r="O855" i="1"/>
  <c r="O774" i="1"/>
  <c r="O751" i="1"/>
  <c r="O727" i="1"/>
  <c r="O528" i="1"/>
  <c r="O502" i="1"/>
  <c r="O428" i="1"/>
  <c r="O303" i="1"/>
  <c r="O14" i="1"/>
  <c r="N997" i="1"/>
  <c r="O997" i="1"/>
  <c r="N869" i="1"/>
  <c r="O869" i="1"/>
  <c r="N853" i="1"/>
  <c r="O853" i="1"/>
  <c r="N757" i="1"/>
  <c r="O757" i="1"/>
  <c r="N725" i="1"/>
  <c r="O725" i="1"/>
  <c r="N645" i="1"/>
  <c r="O645" i="1"/>
  <c r="N613" i="1"/>
  <c r="O613" i="1"/>
  <c r="N597" i="1"/>
  <c r="O597" i="1"/>
  <c r="N469" i="1"/>
  <c r="O469" i="1"/>
  <c r="N309" i="1"/>
  <c r="O309" i="1"/>
  <c r="N261" i="1"/>
  <c r="O261" i="1"/>
  <c r="N165" i="1"/>
  <c r="O165" i="1"/>
  <c r="N85" i="1"/>
  <c r="O85" i="1"/>
  <c r="N4" i="1"/>
  <c r="O4" i="1"/>
  <c r="N429" i="1"/>
  <c r="O854" i="1"/>
  <c r="O773" i="1"/>
  <c r="O750" i="1"/>
  <c r="O574" i="1"/>
  <c r="O527" i="1"/>
  <c r="O501" i="1"/>
  <c r="O455" i="1"/>
  <c r="O427" i="1"/>
  <c r="O379" i="1"/>
  <c r="O102" i="1"/>
  <c r="O12" i="1"/>
  <c r="N980" i="1"/>
  <c r="O980" i="1"/>
  <c r="N868" i="1"/>
  <c r="O868" i="1"/>
  <c r="N852" i="1"/>
  <c r="O852" i="1"/>
  <c r="N756" i="1"/>
  <c r="O756" i="1"/>
  <c r="N532" i="1"/>
  <c r="O532" i="1"/>
  <c r="N340" i="1"/>
  <c r="O340" i="1"/>
  <c r="N324" i="1"/>
  <c r="O324" i="1"/>
  <c r="L308" i="1"/>
  <c r="M308" i="1"/>
  <c r="N276" i="1"/>
  <c r="O276" i="1"/>
  <c r="N260" i="1"/>
  <c r="O260" i="1"/>
  <c r="N212" i="1"/>
  <c r="O212" i="1"/>
  <c r="N180" i="1"/>
  <c r="O180" i="1"/>
  <c r="N164" i="1"/>
  <c r="O164" i="1"/>
  <c r="N148" i="1"/>
  <c r="O148" i="1"/>
  <c r="N116" i="1"/>
  <c r="O116" i="1"/>
  <c r="N100" i="1"/>
  <c r="O100" i="1"/>
  <c r="N52" i="1"/>
  <c r="O52" i="1"/>
  <c r="N36" i="1"/>
  <c r="O36" i="1"/>
  <c r="N3" i="1"/>
  <c r="O3" i="1"/>
  <c r="O928" i="1"/>
  <c r="O901" i="1"/>
  <c r="O772" i="1"/>
  <c r="O624" i="1"/>
  <c r="O550" i="1"/>
  <c r="O526" i="1"/>
  <c r="O500" i="1"/>
  <c r="O454" i="1"/>
  <c r="O39" i="1"/>
  <c r="N93" i="1"/>
  <c r="O900" i="1"/>
  <c r="O672" i="1"/>
  <c r="O549" i="1"/>
  <c r="O524" i="1"/>
  <c r="O373" i="1"/>
  <c r="O350" i="1"/>
  <c r="O128" i="1"/>
  <c r="O71" i="1"/>
  <c r="O38" i="1"/>
  <c r="N962" i="1"/>
  <c r="O962" i="1"/>
  <c r="N850" i="1"/>
  <c r="O850" i="1"/>
  <c r="N706" i="1"/>
  <c r="O706" i="1"/>
  <c r="N578" i="1"/>
  <c r="O578" i="1"/>
  <c r="N450" i="1"/>
  <c r="O450" i="1"/>
  <c r="N338" i="1"/>
  <c r="O338" i="1"/>
  <c r="N242" i="1"/>
  <c r="O242" i="1"/>
  <c r="N82" i="1"/>
  <c r="O82" i="1"/>
  <c r="O914" i="1"/>
  <c r="O802" i="1"/>
  <c r="N833" i="1"/>
  <c r="O833" i="1"/>
  <c r="N577" i="1"/>
  <c r="O577" i="1"/>
  <c r="N321" i="1"/>
  <c r="O321" i="1"/>
  <c r="N241" i="1"/>
  <c r="O241" i="1"/>
  <c r="O866" i="1"/>
  <c r="O690" i="1"/>
  <c r="O81" i="1"/>
  <c r="O282" i="1"/>
  <c r="O26" i="1"/>
  <c r="O906" i="1"/>
  <c r="O778" i="1"/>
  <c r="O650" i="1"/>
  <c r="O522" i="1"/>
  <c r="O394" i="1"/>
  <c r="O281" i="1"/>
  <c r="O905" i="1"/>
  <c r="O649" i="1"/>
  <c r="O521" i="1"/>
  <c r="O393" i="1"/>
  <c r="O280" i="1"/>
  <c r="O122" i="1"/>
  <c r="O13" i="1"/>
  <c r="M365" i="1"/>
  <c r="M349" i="1"/>
  <c r="O2" i="1"/>
  <c r="M766" i="1"/>
  <c r="M749" i="1"/>
  <c r="M702" i="1"/>
  <c r="M701" i="1"/>
  <c r="M612" i="1"/>
  <c r="M510" i="1"/>
  <c r="M782" i="1"/>
  <c r="M78" i="1"/>
  <c r="M734" i="1"/>
  <c r="M733" i="1"/>
  <c r="M429" i="1"/>
  <c r="M395" i="1"/>
  <c r="M372" i="1"/>
  <c r="M366" i="1"/>
  <c r="M980" i="1"/>
  <c r="M941" i="1"/>
  <c r="M302" i="1"/>
  <c r="M877" i="1"/>
  <c r="M301" i="1"/>
  <c r="M846" i="1"/>
  <c r="M253" i="1"/>
  <c r="M557" i="1"/>
  <c r="M206" i="1"/>
  <c r="M606" i="1"/>
  <c r="M605" i="1"/>
  <c r="M574" i="1"/>
  <c r="M830" i="1"/>
  <c r="M814" i="1"/>
  <c r="M541" i="1"/>
  <c r="M190" i="1"/>
  <c r="M813" i="1"/>
  <c r="M526" i="1"/>
  <c r="M189" i="1"/>
  <c r="M804" i="1"/>
  <c r="M525" i="1"/>
  <c r="M93" i="1"/>
  <c r="M765" i="1"/>
  <c r="M77" i="1"/>
  <c r="L902" i="1"/>
  <c r="M902" i="1"/>
  <c r="L610" i="1"/>
  <c r="M610" i="1"/>
  <c r="L274" i="1"/>
  <c r="M274" i="1"/>
  <c r="L895" i="1"/>
  <c r="M895" i="1"/>
  <c r="L191" i="1"/>
  <c r="M191" i="1"/>
  <c r="L894" i="1"/>
  <c r="M894" i="1"/>
  <c r="L878" i="1"/>
  <c r="M878" i="1"/>
  <c r="M706" i="1"/>
  <c r="M370" i="1"/>
  <c r="M50" i="1"/>
  <c r="M831" i="1"/>
  <c r="M576" i="1"/>
  <c r="M575" i="1"/>
  <c r="L726" i="1"/>
  <c r="M726" i="1"/>
  <c r="L614" i="1"/>
  <c r="M614" i="1"/>
  <c r="L724" i="1"/>
  <c r="M724" i="1"/>
  <c r="L708" i="1"/>
  <c r="M708" i="1"/>
  <c r="L628" i="1"/>
  <c r="M628" i="1"/>
  <c r="L516" i="1"/>
  <c r="M516" i="1"/>
  <c r="L196" i="1"/>
  <c r="M196" i="1"/>
  <c r="M767" i="1"/>
  <c r="M548" i="1"/>
  <c r="L252" i="1"/>
  <c r="M252" i="1"/>
  <c r="L396" i="1"/>
  <c r="M396" i="1"/>
  <c r="L220" i="1"/>
  <c r="M220" i="1"/>
  <c r="M798" i="1"/>
  <c r="M494" i="1"/>
  <c r="M797" i="1"/>
  <c r="M493" i="1"/>
  <c r="M971" i="1"/>
  <c r="M781" i="1"/>
  <c r="M205" i="1"/>
  <c r="M968" i="1"/>
  <c r="L457" i="1"/>
  <c r="M905" i="1"/>
  <c r="M648" i="1"/>
  <c r="M311" i="1"/>
  <c r="M212" i="1"/>
  <c r="M100" i="1"/>
  <c r="M904" i="1"/>
  <c r="M631" i="1"/>
  <c r="M550" i="1"/>
  <c r="M310" i="1"/>
  <c r="M903" i="1"/>
  <c r="M630" i="1"/>
  <c r="M984" i="1"/>
  <c r="M52" i="1"/>
  <c r="M967" i="1"/>
  <c r="M166" i="1"/>
  <c r="M966" i="1"/>
  <c r="M578" i="1"/>
  <c r="M356" i="1"/>
  <c r="M36" i="1"/>
  <c r="M153" i="1"/>
  <c r="M962" i="1"/>
  <c r="M679" i="1"/>
  <c r="M489" i="1"/>
  <c r="M32" i="1"/>
  <c r="M31" i="1"/>
  <c r="L740" i="1"/>
  <c r="M932" i="1"/>
  <c r="M829" i="1"/>
  <c r="M758" i="1"/>
  <c r="M676" i="1"/>
  <c r="M564" i="1"/>
  <c r="M454" i="1"/>
  <c r="M333" i="1"/>
  <c r="M216" i="1"/>
  <c r="M150" i="1"/>
  <c r="M30" i="1"/>
  <c r="M392" i="1"/>
  <c r="M710" i="1"/>
  <c r="M55" i="1"/>
  <c r="M278" i="1"/>
  <c r="M772" i="1"/>
  <c r="M276" i="1"/>
  <c r="M164" i="1"/>
  <c r="M840" i="1"/>
  <c r="M34" i="1"/>
  <c r="M152" i="1"/>
  <c r="M759" i="1"/>
  <c r="M455" i="1"/>
  <c r="M217" i="1"/>
  <c r="L729" i="1"/>
  <c r="M925" i="1"/>
  <c r="M820" i="1"/>
  <c r="M756" i="1"/>
  <c r="M669" i="1"/>
  <c r="M562" i="1"/>
  <c r="M452" i="1"/>
  <c r="M313" i="1"/>
  <c r="M215" i="1"/>
  <c r="M144" i="1"/>
  <c r="M29" i="1"/>
  <c r="M393" i="1"/>
  <c r="M279" i="1"/>
  <c r="M969" i="1"/>
  <c r="M54" i="1"/>
  <c r="M180" i="1"/>
  <c r="M868" i="1"/>
  <c r="M500" i="1"/>
  <c r="M964" i="1"/>
  <c r="M680" i="1"/>
  <c r="M354" i="1"/>
  <c r="M760" i="1"/>
  <c r="M678" i="1"/>
  <c r="M151" i="1"/>
  <c r="L477" i="1"/>
  <c r="M914" i="1"/>
  <c r="M818" i="1"/>
  <c r="M750" i="1"/>
  <c r="M649" i="1"/>
  <c r="M558" i="1"/>
  <c r="M445" i="1"/>
  <c r="M312" i="1"/>
  <c r="M214" i="1"/>
  <c r="M110" i="1"/>
  <c r="M988" i="1"/>
  <c r="L988" i="1"/>
  <c r="L540" i="1"/>
  <c r="M540" i="1"/>
  <c r="L348" i="1"/>
  <c r="M348" i="1"/>
  <c r="L300" i="1"/>
  <c r="M300" i="1"/>
  <c r="L236" i="1"/>
  <c r="M236" i="1"/>
  <c r="L188" i="1"/>
  <c r="M188" i="1"/>
  <c r="L891" i="1"/>
  <c r="M891" i="1"/>
  <c r="L795" i="1"/>
  <c r="M795" i="1"/>
  <c r="L539" i="1"/>
  <c r="M539" i="1"/>
  <c r="L235" i="1"/>
  <c r="M235" i="1"/>
  <c r="L187" i="1"/>
  <c r="M187" i="1"/>
  <c r="L123" i="1"/>
  <c r="M123" i="1"/>
  <c r="L476" i="1"/>
  <c r="M284" i="1"/>
  <c r="L937" i="1"/>
  <c r="M937" i="1"/>
  <c r="L889" i="1"/>
  <c r="M889" i="1"/>
  <c r="L793" i="1"/>
  <c r="M793" i="1"/>
  <c r="L633" i="1"/>
  <c r="M633" i="1"/>
  <c r="L537" i="1"/>
  <c r="M537" i="1"/>
  <c r="L345" i="1"/>
  <c r="M345" i="1"/>
  <c r="L185" i="1"/>
  <c r="M185" i="1"/>
  <c r="L137" i="1"/>
  <c r="M137" i="1"/>
  <c r="L121" i="1"/>
  <c r="M121" i="1"/>
  <c r="L380" i="1"/>
  <c r="M140" i="1"/>
  <c r="L936" i="1"/>
  <c r="M936" i="1"/>
  <c r="L792" i="1"/>
  <c r="M792" i="1"/>
  <c r="L744" i="1"/>
  <c r="M744" i="1"/>
  <c r="L696" i="1"/>
  <c r="M696" i="1"/>
  <c r="L632" i="1"/>
  <c r="M632" i="1"/>
  <c r="L536" i="1"/>
  <c r="M536" i="1"/>
  <c r="L456" i="1"/>
  <c r="M456" i="1"/>
  <c r="L408" i="1"/>
  <c r="M408" i="1"/>
  <c r="L344" i="1"/>
  <c r="M344" i="1"/>
  <c r="L184" i="1"/>
  <c r="M184" i="1"/>
  <c r="L136" i="1"/>
  <c r="M136" i="1"/>
  <c r="M428" i="1"/>
  <c r="M120" i="1"/>
  <c r="L935" i="1"/>
  <c r="M935" i="1"/>
  <c r="L839" i="1"/>
  <c r="M839" i="1"/>
  <c r="L791" i="1"/>
  <c r="M791" i="1"/>
  <c r="L743" i="1"/>
  <c r="M743" i="1"/>
  <c r="L695" i="1"/>
  <c r="M695" i="1"/>
  <c r="L647" i="1"/>
  <c r="M647" i="1"/>
  <c r="L599" i="1"/>
  <c r="M599" i="1"/>
  <c r="L407" i="1"/>
  <c r="M407" i="1"/>
  <c r="L343" i="1"/>
  <c r="M343" i="1"/>
  <c r="M940" i="1"/>
  <c r="M857" i="1"/>
  <c r="M604" i="1"/>
  <c r="M427" i="1"/>
  <c r="M119" i="1"/>
  <c r="L998" i="1"/>
  <c r="M998" i="1"/>
  <c r="L934" i="1"/>
  <c r="M934" i="1"/>
  <c r="L838" i="1"/>
  <c r="M838" i="1"/>
  <c r="L790" i="1"/>
  <c r="M790" i="1"/>
  <c r="L742" i="1"/>
  <c r="M742" i="1"/>
  <c r="L694" i="1"/>
  <c r="M694" i="1"/>
  <c r="L646" i="1"/>
  <c r="M646" i="1"/>
  <c r="L598" i="1"/>
  <c r="M598" i="1"/>
  <c r="L470" i="1"/>
  <c r="M470" i="1"/>
  <c r="L406" i="1"/>
  <c r="M406" i="1"/>
  <c r="L246" i="1"/>
  <c r="M246" i="1"/>
  <c r="L22" i="1"/>
  <c r="M22" i="1"/>
  <c r="L108" i="1"/>
  <c r="M856" i="1"/>
  <c r="M601" i="1"/>
  <c r="M425" i="1"/>
  <c r="M342" i="1"/>
  <c r="L92" i="1"/>
  <c r="M855" i="1"/>
  <c r="M796" i="1"/>
  <c r="M731" i="1"/>
  <c r="M665" i="1"/>
  <c r="M600" i="1"/>
  <c r="M424" i="1"/>
  <c r="M268" i="1"/>
  <c r="M105" i="1"/>
  <c r="L996" i="1"/>
  <c r="M996" i="1"/>
  <c r="L884" i="1"/>
  <c r="M884" i="1"/>
  <c r="L836" i="1"/>
  <c r="M836" i="1"/>
  <c r="L644" i="1"/>
  <c r="M644" i="1"/>
  <c r="L596" i="1"/>
  <c r="M596" i="1"/>
  <c r="L580" i="1"/>
  <c r="M580" i="1"/>
  <c r="L468" i="1"/>
  <c r="M468" i="1"/>
  <c r="L420" i="1"/>
  <c r="M420" i="1"/>
  <c r="L292" i="1"/>
  <c r="M292" i="1"/>
  <c r="L244" i="1"/>
  <c r="M244" i="1"/>
  <c r="L228" i="1"/>
  <c r="M228" i="1"/>
  <c r="L132" i="1"/>
  <c r="M132" i="1"/>
  <c r="L68" i="1"/>
  <c r="M68" i="1"/>
  <c r="L20" i="1"/>
  <c r="M20" i="1"/>
  <c r="L76" i="1"/>
  <c r="M924" i="1"/>
  <c r="M854" i="1"/>
  <c r="M664" i="1"/>
  <c r="M504" i="1"/>
  <c r="M423" i="1"/>
  <c r="M262" i="1"/>
  <c r="M104" i="1"/>
  <c r="L60" i="1"/>
  <c r="M921" i="1"/>
  <c r="M852" i="1"/>
  <c r="M728" i="1"/>
  <c r="M660" i="1"/>
  <c r="M577" i="1"/>
  <c r="M503" i="1"/>
  <c r="M422" i="1"/>
  <c r="M324" i="1"/>
  <c r="M260" i="1"/>
  <c r="M183" i="1"/>
  <c r="M103" i="1"/>
  <c r="L882" i="1"/>
  <c r="M882" i="1"/>
  <c r="L834" i="1"/>
  <c r="M834" i="1"/>
  <c r="L594" i="1"/>
  <c r="M594" i="1"/>
  <c r="L418" i="1"/>
  <c r="M418" i="1"/>
  <c r="L66" i="1"/>
  <c r="M66" i="1"/>
  <c r="L18" i="1"/>
  <c r="M18" i="1"/>
  <c r="M985" i="1"/>
  <c r="M916" i="1"/>
  <c r="M850" i="1"/>
  <c r="M774" i="1"/>
  <c r="M727" i="1"/>
  <c r="M658" i="1"/>
  <c r="M502" i="1"/>
  <c r="M404" i="1"/>
  <c r="M316" i="1"/>
  <c r="M258" i="1"/>
  <c r="M182" i="1"/>
  <c r="M102" i="1"/>
  <c r="M23" i="1"/>
  <c r="M464" i="1"/>
  <c r="M990" i="1"/>
  <c r="M463" i="1"/>
  <c r="M286" i="1"/>
  <c r="M14" i="1"/>
  <c r="M989" i="1"/>
  <c r="M832" i="1"/>
  <c r="M285" i="1"/>
  <c r="M61" i="1"/>
  <c r="M13" i="1"/>
  <c r="L981" i="1"/>
  <c r="M981" i="1"/>
  <c r="L949" i="1"/>
  <c r="M949" i="1"/>
  <c r="L805" i="1"/>
  <c r="M805" i="1"/>
  <c r="L661" i="1"/>
  <c r="M661" i="1"/>
  <c r="L533" i="1"/>
  <c r="M533" i="1"/>
  <c r="L437" i="1"/>
  <c r="M437" i="1"/>
  <c r="L421" i="1"/>
  <c r="M421" i="1"/>
  <c r="L389" i="1"/>
  <c r="M389" i="1"/>
  <c r="L357" i="1"/>
  <c r="M357" i="1"/>
  <c r="L325" i="1"/>
  <c r="M325" i="1"/>
  <c r="L293" i="1"/>
  <c r="M293" i="1"/>
  <c r="L197" i="1"/>
  <c r="M197" i="1"/>
  <c r="L149" i="1"/>
  <c r="M149" i="1"/>
  <c r="L117" i="1"/>
  <c r="M117" i="1"/>
  <c r="L101" i="1"/>
  <c r="M101" i="1"/>
  <c r="L37" i="1"/>
  <c r="M37" i="1"/>
  <c r="M69" i="1"/>
  <c r="M549" i="1"/>
  <c r="L897" i="1"/>
  <c r="M897" i="1"/>
  <c r="L657" i="1"/>
  <c r="M657" i="1"/>
  <c r="L593" i="1"/>
  <c r="M593" i="1"/>
  <c r="L481" i="1"/>
  <c r="M481" i="1"/>
  <c r="L417" i="1"/>
  <c r="M417" i="1"/>
  <c r="L337" i="1"/>
  <c r="M337" i="1"/>
  <c r="L65" i="1"/>
  <c r="M65" i="1"/>
  <c r="L33" i="1"/>
  <c r="M33" i="1"/>
  <c r="M901" i="1"/>
  <c r="M821" i="1"/>
  <c r="M645" i="1"/>
  <c r="M309" i="1"/>
  <c r="M225" i="1"/>
  <c r="L896" i="1"/>
  <c r="M896" i="1"/>
  <c r="L784" i="1"/>
  <c r="M784" i="1"/>
  <c r="L608" i="1"/>
  <c r="M608" i="1"/>
  <c r="L592" i="1"/>
  <c r="M592" i="1"/>
  <c r="L320" i="1"/>
  <c r="M320" i="1"/>
  <c r="L224" i="1"/>
  <c r="M224" i="1"/>
  <c r="L64" i="1"/>
  <c r="M64" i="1"/>
  <c r="M933" i="1"/>
  <c r="M725" i="1"/>
  <c r="L799" i="1"/>
  <c r="M799" i="1"/>
  <c r="L783" i="1"/>
  <c r="M783" i="1"/>
  <c r="L639" i="1"/>
  <c r="M639" i="1"/>
  <c r="L351" i="1"/>
  <c r="M351" i="1"/>
  <c r="L319" i="1"/>
  <c r="M319" i="1"/>
  <c r="L63" i="1"/>
  <c r="M63" i="1"/>
  <c r="M495" i="1"/>
  <c r="M53" i="1"/>
  <c r="M565" i="1"/>
  <c r="M369" i="1"/>
  <c r="M335" i="1"/>
  <c r="M261" i="1"/>
  <c r="M85" i="1"/>
  <c r="M816" i="1"/>
  <c r="M368" i="1"/>
  <c r="M956" i="1"/>
  <c r="L956" i="1"/>
  <c r="M892" i="1"/>
  <c r="L892" i="1"/>
  <c r="L828" i="1"/>
  <c r="M828" i="1"/>
  <c r="L748" i="1"/>
  <c r="M748" i="1"/>
  <c r="L684" i="1"/>
  <c r="M684" i="1"/>
  <c r="M636" i="1"/>
  <c r="L636" i="1"/>
  <c r="L588" i="1"/>
  <c r="M588" i="1"/>
  <c r="L508" i="1"/>
  <c r="M508" i="1"/>
  <c r="L460" i="1"/>
  <c r="M460" i="1"/>
  <c r="L412" i="1"/>
  <c r="M412" i="1"/>
  <c r="M815" i="1"/>
  <c r="M367" i="1"/>
  <c r="L779" i="1"/>
  <c r="M779" i="1"/>
  <c r="L747" i="1"/>
  <c r="M747" i="1"/>
  <c r="L715" i="1"/>
  <c r="M715" i="1"/>
  <c r="L571" i="1"/>
  <c r="M571" i="1"/>
  <c r="L411" i="1"/>
  <c r="M411" i="1"/>
  <c r="L251" i="1"/>
  <c r="M251" i="1"/>
  <c r="L43" i="1"/>
  <c r="M43" i="1"/>
  <c r="L27" i="1"/>
  <c r="M27" i="1"/>
  <c r="L732" i="1"/>
  <c r="M917" i="1"/>
  <c r="M667" i="1"/>
  <c r="M561" i="1"/>
  <c r="M332" i="1"/>
  <c r="M257" i="1"/>
  <c r="M181" i="1"/>
  <c r="M48" i="1"/>
  <c r="M959" i="1"/>
  <c r="M587" i="1"/>
  <c r="M524" i="1"/>
  <c r="M443" i="1"/>
  <c r="M17" i="1"/>
  <c r="L761" i="1"/>
  <c r="M761" i="1"/>
  <c r="L681" i="1"/>
  <c r="M681" i="1"/>
  <c r="L569" i="1"/>
  <c r="M569" i="1"/>
  <c r="L553" i="1"/>
  <c r="M553" i="1"/>
  <c r="L505" i="1"/>
  <c r="M505" i="1"/>
  <c r="L377" i="1"/>
  <c r="M377" i="1"/>
  <c r="L249" i="1"/>
  <c r="M249" i="1"/>
  <c r="L89" i="1"/>
  <c r="M89" i="1"/>
  <c r="L57" i="1"/>
  <c r="M57" i="1"/>
  <c r="L25" i="1"/>
  <c r="M25" i="1"/>
  <c r="M812" i="1"/>
  <c r="M585" i="1"/>
  <c r="M475" i="1"/>
  <c r="M441" i="1"/>
  <c r="M361" i="1"/>
  <c r="M208" i="1"/>
  <c r="M73" i="1"/>
  <c r="M16" i="1"/>
  <c r="L920" i="1"/>
  <c r="M920" i="1"/>
  <c r="L888" i="1"/>
  <c r="M888" i="1"/>
  <c r="L776" i="1"/>
  <c r="M776" i="1"/>
  <c r="L712" i="1"/>
  <c r="M712" i="1"/>
  <c r="L616" i="1"/>
  <c r="M616" i="1"/>
  <c r="L552" i="1"/>
  <c r="M552" i="1"/>
  <c r="L360" i="1"/>
  <c r="M360" i="1"/>
  <c r="L328" i="1"/>
  <c r="M328" i="1"/>
  <c r="L296" i="1"/>
  <c r="M296" i="1"/>
  <c r="L264" i="1"/>
  <c r="M264" i="1"/>
  <c r="L168" i="1"/>
  <c r="M168" i="1"/>
  <c r="L88" i="1"/>
  <c r="M88" i="1"/>
  <c r="L56" i="1"/>
  <c r="M56" i="1"/>
  <c r="L24" i="1"/>
  <c r="M24" i="1"/>
  <c r="L668" i="1"/>
  <c r="M953" i="1"/>
  <c r="M613" i="1"/>
  <c r="M584" i="1"/>
  <c r="M521" i="1"/>
  <c r="M473" i="1"/>
  <c r="M440" i="1"/>
  <c r="M207" i="1"/>
  <c r="M165" i="1"/>
  <c r="M113" i="1"/>
  <c r="M72" i="1"/>
  <c r="M40" i="1"/>
  <c r="M15" i="1"/>
  <c r="L999" i="1"/>
  <c r="M999" i="1"/>
  <c r="L983" i="1"/>
  <c r="M983" i="1"/>
  <c r="L951" i="1"/>
  <c r="M951" i="1"/>
  <c r="L919" i="1"/>
  <c r="M919" i="1"/>
  <c r="L887" i="1"/>
  <c r="M887" i="1"/>
  <c r="L871" i="1"/>
  <c r="M871" i="1"/>
  <c r="L823" i="1"/>
  <c r="M823" i="1"/>
  <c r="L807" i="1"/>
  <c r="M807" i="1"/>
  <c r="L775" i="1"/>
  <c r="M775" i="1"/>
  <c r="L711" i="1"/>
  <c r="M711" i="1"/>
  <c r="L663" i="1"/>
  <c r="M663" i="1"/>
  <c r="L615" i="1"/>
  <c r="M615" i="1"/>
  <c r="L567" i="1"/>
  <c r="M567" i="1"/>
  <c r="L551" i="1"/>
  <c r="M551" i="1"/>
  <c r="L535" i="1"/>
  <c r="M535" i="1"/>
  <c r="L519" i="1"/>
  <c r="M519" i="1"/>
  <c r="L487" i="1"/>
  <c r="M487" i="1"/>
  <c r="L391" i="1"/>
  <c r="M391" i="1"/>
  <c r="L375" i="1"/>
  <c r="M375" i="1"/>
  <c r="L359" i="1"/>
  <c r="M359" i="1"/>
  <c r="L327" i="1"/>
  <c r="M327" i="1"/>
  <c r="L295" i="1"/>
  <c r="M295" i="1"/>
  <c r="L263" i="1"/>
  <c r="M263" i="1"/>
  <c r="L247" i="1"/>
  <c r="M247" i="1"/>
  <c r="L231" i="1"/>
  <c r="M231" i="1"/>
  <c r="L199" i="1"/>
  <c r="M199" i="1"/>
  <c r="L167" i="1"/>
  <c r="M167" i="1"/>
  <c r="L135" i="1"/>
  <c r="M135" i="1"/>
  <c r="L87" i="1"/>
  <c r="M87" i="1"/>
  <c r="L7" i="1"/>
  <c r="M7" i="1"/>
  <c r="L652" i="1"/>
  <c r="M952" i="1"/>
  <c r="M908" i="1"/>
  <c r="M869" i="1"/>
  <c r="M809" i="1"/>
  <c r="M773" i="1"/>
  <c r="M700" i="1"/>
  <c r="M583" i="1"/>
  <c r="M520" i="1"/>
  <c r="M472" i="1"/>
  <c r="M439" i="1"/>
  <c r="M400" i="1"/>
  <c r="M281" i="1"/>
  <c r="M245" i="1"/>
  <c r="M112" i="1"/>
  <c r="M71" i="1"/>
  <c r="M39" i="1"/>
  <c r="L885" i="1"/>
  <c r="M885" i="1"/>
  <c r="L741" i="1"/>
  <c r="M741" i="1"/>
  <c r="L693" i="1"/>
  <c r="M693" i="1"/>
  <c r="L517" i="1"/>
  <c r="M517" i="1"/>
  <c r="L485" i="1"/>
  <c r="M485" i="1"/>
  <c r="L453" i="1"/>
  <c r="M453" i="1"/>
  <c r="L341" i="1"/>
  <c r="M341" i="1"/>
  <c r="L133" i="1"/>
  <c r="M133" i="1"/>
  <c r="M581" i="1"/>
  <c r="M469" i="1"/>
  <c r="M277" i="1"/>
  <c r="M229" i="1"/>
  <c r="L945" i="1"/>
  <c r="M945" i="1"/>
  <c r="L913" i="1"/>
  <c r="M913" i="1"/>
  <c r="L849" i="1"/>
  <c r="M849" i="1"/>
  <c r="L801" i="1"/>
  <c r="M801" i="1"/>
  <c r="L609" i="1"/>
  <c r="M609" i="1"/>
  <c r="L545" i="1"/>
  <c r="M545" i="1"/>
  <c r="L145" i="1"/>
  <c r="M145" i="1"/>
  <c r="M853" i="1"/>
  <c r="M501" i="1"/>
  <c r="M373" i="1"/>
  <c r="L912" i="1"/>
  <c r="M912" i="1"/>
  <c r="L848" i="1"/>
  <c r="M848" i="1"/>
  <c r="L800" i="1"/>
  <c r="M800" i="1"/>
  <c r="L720" i="1"/>
  <c r="M720" i="1"/>
  <c r="L656" i="1"/>
  <c r="M656" i="1"/>
  <c r="L544" i="1"/>
  <c r="M544" i="1"/>
  <c r="L352" i="1"/>
  <c r="M352" i="1"/>
  <c r="L735" i="1"/>
  <c r="M735" i="1"/>
  <c r="L655" i="1"/>
  <c r="M655" i="1"/>
  <c r="L607" i="1"/>
  <c r="M607" i="1"/>
  <c r="L543" i="1"/>
  <c r="M543" i="1"/>
  <c r="L287" i="1"/>
  <c r="M287" i="1"/>
  <c r="L223" i="1"/>
  <c r="M223" i="1"/>
  <c r="M757" i="1"/>
  <c r="M677" i="1"/>
  <c r="M336" i="1"/>
  <c r="M847" i="1"/>
  <c r="M817" i="1"/>
  <c r="M597" i="1"/>
  <c r="M965" i="1"/>
  <c r="M709" i="1"/>
  <c r="M527" i="1"/>
  <c r="M416" i="1"/>
  <c r="M21" i="1"/>
  <c r="L972" i="1"/>
  <c r="M972" i="1"/>
  <c r="L844" i="1"/>
  <c r="M844" i="1"/>
  <c r="L764" i="1"/>
  <c r="M764" i="1"/>
  <c r="L572" i="1"/>
  <c r="M572" i="1"/>
  <c r="M789" i="1"/>
  <c r="M492" i="1"/>
  <c r="M49" i="1"/>
  <c r="L827" i="1"/>
  <c r="M827" i="1"/>
  <c r="L763" i="1"/>
  <c r="M763" i="1"/>
  <c r="L683" i="1"/>
  <c r="M683" i="1"/>
  <c r="L635" i="1"/>
  <c r="M635" i="1"/>
  <c r="L555" i="1"/>
  <c r="M555" i="1"/>
  <c r="L507" i="1"/>
  <c r="M507" i="1"/>
  <c r="L299" i="1"/>
  <c r="M299" i="1"/>
  <c r="L267" i="1"/>
  <c r="M267" i="1"/>
  <c r="L171" i="1"/>
  <c r="M171" i="1"/>
  <c r="L11" i="1"/>
  <c r="M11" i="1"/>
  <c r="M997" i="1"/>
  <c r="M629" i="1"/>
  <c r="M591" i="1"/>
  <c r="M491" i="1"/>
  <c r="M444" i="1"/>
  <c r="M213" i="1"/>
  <c r="M703" i="1"/>
  <c r="M560" i="1"/>
  <c r="M331" i="1"/>
  <c r="M47" i="1"/>
  <c r="L1001" i="1"/>
  <c r="M1001" i="1"/>
  <c r="L841" i="1"/>
  <c r="M841" i="1"/>
  <c r="L825" i="1"/>
  <c r="M825" i="1"/>
  <c r="L777" i="1"/>
  <c r="M777" i="1"/>
  <c r="L745" i="1"/>
  <c r="M745" i="1"/>
  <c r="L713" i="1"/>
  <c r="M713" i="1"/>
  <c r="L617" i="1"/>
  <c r="M617" i="1"/>
  <c r="L409" i="1"/>
  <c r="M409" i="1"/>
  <c r="L297" i="1"/>
  <c r="M297" i="1"/>
  <c r="L265" i="1"/>
  <c r="M265" i="1"/>
  <c r="L233" i="1"/>
  <c r="M233" i="1"/>
  <c r="L201" i="1"/>
  <c r="M201" i="1"/>
  <c r="L169" i="1"/>
  <c r="M169" i="1"/>
  <c r="L9" i="1"/>
  <c r="M9" i="1"/>
  <c r="L716" i="1"/>
  <c r="M955" i="1"/>
  <c r="M837" i="1"/>
  <c r="M780" i="1"/>
  <c r="M559" i="1"/>
  <c r="M523" i="1"/>
  <c r="M405" i="1"/>
  <c r="M329" i="1"/>
  <c r="M41" i="1"/>
  <c r="L1000" i="1"/>
  <c r="M1000" i="1"/>
  <c r="L872" i="1"/>
  <c r="M872" i="1"/>
  <c r="L824" i="1"/>
  <c r="M824" i="1"/>
  <c r="L568" i="1"/>
  <c r="M568" i="1"/>
  <c r="L488" i="1"/>
  <c r="M488" i="1"/>
  <c r="L376" i="1"/>
  <c r="M376" i="1"/>
  <c r="L248" i="1"/>
  <c r="M248" i="1"/>
  <c r="L232" i="1"/>
  <c r="M232" i="1"/>
  <c r="L200" i="1"/>
  <c r="M200" i="1"/>
  <c r="L8" i="1"/>
  <c r="M8" i="1"/>
  <c r="M911" i="1"/>
  <c r="M873" i="1"/>
  <c r="M811" i="1"/>
  <c r="M283" i="1"/>
  <c r="L982" i="1"/>
  <c r="M982" i="1"/>
  <c r="L950" i="1"/>
  <c r="M950" i="1"/>
  <c r="L918" i="1"/>
  <c r="M918" i="1"/>
  <c r="L886" i="1"/>
  <c r="M886" i="1"/>
  <c r="L870" i="1"/>
  <c r="M870" i="1"/>
  <c r="L822" i="1"/>
  <c r="M822" i="1"/>
  <c r="L806" i="1"/>
  <c r="M806" i="1"/>
  <c r="L662" i="1"/>
  <c r="M662" i="1"/>
  <c r="L566" i="1"/>
  <c r="M566" i="1"/>
  <c r="L534" i="1"/>
  <c r="M534" i="1"/>
  <c r="L518" i="1"/>
  <c r="M518" i="1"/>
  <c r="L486" i="1"/>
  <c r="M486" i="1"/>
  <c r="L438" i="1"/>
  <c r="M438" i="1"/>
  <c r="L390" i="1"/>
  <c r="M390" i="1"/>
  <c r="L374" i="1"/>
  <c r="M374" i="1"/>
  <c r="L358" i="1"/>
  <c r="M358" i="1"/>
  <c r="L326" i="1"/>
  <c r="M326" i="1"/>
  <c r="L294" i="1"/>
  <c r="M294" i="1"/>
  <c r="L230" i="1"/>
  <c r="M230" i="1"/>
  <c r="L198" i="1"/>
  <c r="M198" i="1"/>
  <c r="L134" i="1"/>
  <c r="M134" i="1"/>
  <c r="L118" i="1"/>
  <c r="M118" i="1"/>
  <c r="L86" i="1"/>
  <c r="M86" i="1"/>
  <c r="L6" i="1"/>
  <c r="M6" i="1"/>
  <c r="M987" i="1"/>
  <c r="M907" i="1"/>
  <c r="M833" i="1"/>
  <c r="M808" i="1"/>
  <c r="M697" i="1"/>
  <c r="M651" i="1"/>
  <c r="M582" i="1"/>
  <c r="M556" i="1"/>
  <c r="M471" i="1"/>
  <c r="M399" i="1"/>
  <c r="M353" i="1"/>
  <c r="M315" i="1"/>
  <c r="M280" i="1"/>
  <c r="M155" i="1"/>
  <c r="M111" i="1"/>
  <c r="M70" i="1"/>
  <c r="M38" i="1"/>
  <c r="L974" i="1"/>
  <c r="M974" i="1"/>
  <c r="L686" i="1"/>
  <c r="M686" i="1"/>
  <c r="L638" i="1"/>
  <c r="M638" i="1"/>
  <c r="L590" i="1"/>
  <c r="M590" i="1"/>
  <c r="M478" i="1"/>
  <c r="L478" i="1"/>
  <c r="L462" i="1"/>
  <c r="M462" i="1"/>
  <c r="L430" i="1"/>
  <c r="M430" i="1"/>
  <c r="L318" i="1"/>
  <c r="M318" i="1"/>
  <c r="L270" i="1"/>
  <c r="M270" i="1"/>
  <c r="L222" i="1"/>
  <c r="M222" i="1"/>
  <c r="L174" i="1"/>
  <c r="M174" i="1"/>
  <c r="L62" i="1"/>
  <c r="M62" i="1"/>
  <c r="L46" i="1"/>
  <c r="M46" i="1"/>
  <c r="L973" i="1"/>
  <c r="M973" i="1"/>
  <c r="L845" i="1"/>
  <c r="M845" i="1"/>
  <c r="L685" i="1"/>
  <c r="M685" i="1"/>
  <c r="L589" i="1"/>
  <c r="M589" i="1"/>
  <c r="L573" i="1"/>
  <c r="M573" i="1"/>
  <c r="L509" i="1"/>
  <c r="M509" i="1"/>
  <c r="L461" i="1"/>
  <c r="M461" i="1"/>
  <c r="L413" i="1"/>
  <c r="M413" i="1"/>
  <c r="L317" i="1"/>
  <c r="M317" i="1"/>
  <c r="L269" i="1"/>
  <c r="M269" i="1"/>
  <c r="L221" i="1"/>
  <c r="M221" i="1"/>
  <c r="L173" i="1"/>
  <c r="M173" i="1"/>
  <c r="L45" i="1"/>
  <c r="M45" i="1"/>
  <c r="L172" i="1"/>
  <c r="M446" i="1"/>
  <c r="M350" i="1"/>
  <c r="M204" i="1"/>
  <c r="M94" i="1"/>
  <c r="M12" i="1"/>
  <c r="L44" i="1"/>
  <c r="M44" i="1"/>
  <c r="L28" i="1"/>
  <c r="M28" i="1"/>
  <c r="M942" i="1"/>
  <c r="M542" i="1"/>
  <c r="M148" i="1"/>
  <c r="M436" i="1"/>
  <c r="M388" i="1"/>
  <c r="M338" i="1"/>
  <c r="M146" i="1"/>
  <c r="M116" i="1"/>
  <c r="M900" i="1"/>
  <c r="M788" i="1"/>
  <c r="M692" i="1"/>
  <c r="M340" i="1"/>
  <c r="M948" i="1"/>
  <c r="M532" i="1"/>
  <c r="M484" i="1"/>
  <c r="M114" i="1"/>
  <c r="L938" i="1"/>
  <c r="M938" i="1"/>
  <c r="L858" i="1"/>
  <c r="M858" i="1"/>
  <c r="L842" i="1"/>
  <c r="M842" i="1"/>
  <c r="L698" i="1"/>
  <c r="M698" i="1"/>
  <c r="L602" i="1"/>
  <c r="M602" i="1"/>
  <c r="L586" i="1"/>
  <c r="M586" i="1"/>
  <c r="L442" i="1"/>
  <c r="M442" i="1"/>
  <c r="L362" i="1"/>
  <c r="M362" i="1"/>
  <c r="L346" i="1"/>
  <c r="M346" i="1"/>
  <c r="L330" i="1"/>
  <c r="M330" i="1"/>
  <c r="L314" i="1"/>
  <c r="M314" i="1"/>
  <c r="L202" i="1"/>
  <c r="M202" i="1"/>
  <c r="L138" i="1"/>
  <c r="M138" i="1"/>
  <c r="L90" i="1"/>
  <c r="M90" i="1"/>
  <c r="L74" i="1"/>
  <c r="M74" i="1"/>
  <c r="L58" i="1"/>
  <c r="M58" i="1"/>
  <c r="M922" i="1"/>
  <c r="M378" i="1"/>
  <c r="M682" i="1"/>
  <c r="M234" i="1"/>
  <c r="M170" i="1"/>
  <c r="M506" i="1"/>
  <c r="M298" i="1"/>
  <c r="M986" i="1"/>
  <c r="M874" i="1"/>
  <c r="M746" i="1"/>
  <c r="M762" i="1"/>
  <c r="M634" i="1"/>
  <c r="M522" i="1"/>
  <c r="M458" i="1"/>
  <c r="M186" i="1"/>
  <c r="M778" i="1"/>
  <c r="M394" i="1"/>
  <c r="M250" i="1"/>
  <c r="L995" i="1"/>
  <c r="M995" i="1"/>
  <c r="L979" i="1"/>
  <c r="M979" i="1"/>
  <c r="L963" i="1"/>
  <c r="M963" i="1"/>
  <c r="L947" i="1"/>
  <c r="M947" i="1"/>
  <c r="L931" i="1"/>
  <c r="M931" i="1"/>
  <c r="L915" i="1"/>
  <c r="M915" i="1"/>
  <c r="M899" i="1"/>
  <c r="L899" i="1"/>
  <c r="L883" i="1"/>
  <c r="M883" i="1"/>
  <c r="L867" i="1"/>
  <c r="M867" i="1"/>
  <c r="L851" i="1"/>
  <c r="M851" i="1"/>
  <c r="L835" i="1"/>
  <c r="M835" i="1"/>
  <c r="L819" i="1"/>
  <c r="M819" i="1"/>
  <c r="L803" i="1"/>
  <c r="M803" i="1"/>
  <c r="L787" i="1"/>
  <c r="M787" i="1"/>
  <c r="L771" i="1"/>
  <c r="M771" i="1"/>
  <c r="L755" i="1"/>
  <c r="M755" i="1"/>
  <c r="M739" i="1"/>
  <c r="L739" i="1"/>
  <c r="L723" i="1"/>
  <c r="M723" i="1"/>
  <c r="L707" i="1"/>
  <c r="M707" i="1"/>
  <c r="L691" i="1"/>
  <c r="M691" i="1"/>
  <c r="L675" i="1"/>
  <c r="M675" i="1"/>
  <c r="L659" i="1"/>
  <c r="M659" i="1"/>
  <c r="L643" i="1"/>
  <c r="M643" i="1"/>
  <c r="L627" i="1"/>
  <c r="M627" i="1"/>
  <c r="L611" i="1"/>
  <c r="M611" i="1"/>
  <c r="L595" i="1"/>
  <c r="M595" i="1"/>
  <c r="L579" i="1"/>
  <c r="M579" i="1"/>
  <c r="L563" i="1"/>
  <c r="M563" i="1"/>
  <c r="L547" i="1"/>
  <c r="M547" i="1"/>
  <c r="L531" i="1"/>
  <c r="M531" i="1"/>
  <c r="L515" i="1"/>
  <c r="M515" i="1"/>
  <c r="L499" i="1"/>
  <c r="M499" i="1"/>
  <c r="L483" i="1"/>
  <c r="M483" i="1"/>
  <c r="L467" i="1"/>
  <c r="M467" i="1"/>
  <c r="L451" i="1"/>
  <c r="M451" i="1"/>
  <c r="L435" i="1"/>
  <c r="M435" i="1"/>
  <c r="L419" i="1"/>
  <c r="M419" i="1"/>
  <c r="L403" i="1"/>
  <c r="M403" i="1"/>
  <c r="L387" i="1"/>
  <c r="M387" i="1"/>
  <c r="L371" i="1"/>
  <c r="M371" i="1"/>
  <c r="L355" i="1"/>
  <c r="M355" i="1"/>
  <c r="L339" i="1"/>
  <c r="M339" i="1"/>
  <c r="L323" i="1"/>
  <c r="M323" i="1"/>
  <c r="L307" i="1"/>
  <c r="M307" i="1"/>
  <c r="L291" i="1"/>
  <c r="M291" i="1"/>
  <c r="L275" i="1"/>
  <c r="M275" i="1"/>
  <c r="L259" i="1"/>
  <c r="M259" i="1"/>
  <c r="L243" i="1"/>
  <c r="M243" i="1"/>
  <c r="L227" i="1"/>
  <c r="M227" i="1"/>
  <c r="L211" i="1"/>
  <c r="M211" i="1"/>
  <c r="L195" i="1"/>
  <c r="M195" i="1"/>
  <c r="L179" i="1"/>
  <c r="M179" i="1"/>
  <c r="L163" i="1"/>
  <c r="M163" i="1"/>
  <c r="L147" i="1"/>
  <c r="M147" i="1"/>
  <c r="L131" i="1"/>
  <c r="M131" i="1"/>
  <c r="L115" i="1"/>
  <c r="M115" i="1"/>
  <c r="L99" i="1"/>
  <c r="M99" i="1"/>
  <c r="L83" i="1"/>
  <c r="M83" i="1"/>
  <c r="L67" i="1"/>
  <c r="M67" i="1"/>
  <c r="L51" i="1"/>
  <c r="M51" i="1"/>
  <c r="L35" i="1"/>
  <c r="M35" i="1"/>
  <c r="L19" i="1"/>
  <c r="M19" i="1"/>
  <c r="L5" i="1"/>
  <c r="M5" i="1"/>
  <c r="M794" i="1"/>
  <c r="M538" i="1"/>
  <c r="L994" i="1"/>
  <c r="M994" i="1"/>
  <c r="L978" i="1"/>
  <c r="M978" i="1"/>
  <c r="L898" i="1"/>
  <c r="M898" i="1"/>
  <c r="L754" i="1"/>
  <c r="M754" i="1"/>
  <c r="L738" i="1"/>
  <c r="M738" i="1"/>
  <c r="L722" i="1"/>
  <c r="M722" i="1"/>
  <c r="L642" i="1"/>
  <c r="M642" i="1"/>
  <c r="L530" i="1"/>
  <c r="M530" i="1"/>
  <c r="L514" i="1"/>
  <c r="M514" i="1"/>
  <c r="L498" i="1"/>
  <c r="M498" i="1"/>
  <c r="L482" i="1"/>
  <c r="M482" i="1"/>
  <c r="L466" i="1"/>
  <c r="M466" i="1"/>
  <c r="L402" i="1"/>
  <c r="M402" i="1"/>
  <c r="L306" i="1"/>
  <c r="M306" i="1"/>
  <c r="L290" i="1"/>
  <c r="M290" i="1"/>
  <c r="L226" i="1"/>
  <c r="M226" i="1"/>
  <c r="L210" i="1"/>
  <c r="M210" i="1"/>
  <c r="L194" i="1"/>
  <c r="M194" i="1"/>
  <c r="L162" i="1"/>
  <c r="M162" i="1"/>
  <c r="L98" i="1"/>
  <c r="M98" i="1"/>
  <c r="M954" i="1"/>
  <c r="M810" i="1"/>
  <c r="M674" i="1"/>
  <c r="M554" i="1"/>
  <c r="M434" i="1"/>
  <c r="L977" i="1"/>
  <c r="M977" i="1"/>
  <c r="L961" i="1"/>
  <c r="M961" i="1"/>
  <c r="L881" i="1"/>
  <c r="M881" i="1"/>
  <c r="L737" i="1"/>
  <c r="M737" i="1"/>
  <c r="L721" i="1"/>
  <c r="M721" i="1"/>
  <c r="L705" i="1"/>
  <c r="M705" i="1"/>
  <c r="L641" i="1"/>
  <c r="M641" i="1"/>
  <c r="L513" i="1"/>
  <c r="M513" i="1"/>
  <c r="L497" i="1"/>
  <c r="M497" i="1"/>
  <c r="L465" i="1"/>
  <c r="M465" i="1"/>
  <c r="L449" i="1"/>
  <c r="M449" i="1"/>
  <c r="L401" i="1"/>
  <c r="M401" i="1"/>
  <c r="L305" i="1"/>
  <c r="M305" i="1"/>
  <c r="L289" i="1"/>
  <c r="M289" i="1"/>
  <c r="L273" i="1"/>
  <c r="M273" i="1"/>
  <c r="L209" i="1"/>
  <c r="M209" i="1"/>
  <c r="L193" i="1"/>
  <c r="M193" i="1"/>
  <c r="L177" i="1"/>
  <c r="M177" i="1"/>
  <c r="L161" i="1"/>
  <c r="M161" i="1"/>
  <c r="L97" i="1"/>
  <c r="M97" i="1"/>
  <c r="M890" i="1"/>
  <c r="M826" i="1"/>
  <c r="M714" i="1"/>
  <c r="M673" i="1"/>
  <c r="M570" i="1"/>
  <c r="M474" i="1"/>
  <c r="M433" i="1"/>
  <c r="M154" i="1"/>
  <c r="L976" i="1"/>
  <c r="M976" i="1"/>
  <c r="L960" i="1"/>
  <c r="M960" i="1"/>
  <c r="L944" i="1"/>
  <c r="M944" i="1"/>
  <c r="L880" i="1"/>
  <c r="M880" i="1"/>
  <c r="L736" i="1"/>
  <c r="M736" i="1"/>
  <c r="L704" i="1"/>
  <c r="M704" i="1"/>
  <c r="L688" i="1"/>
  <c r="M688" i="1"/>
  <c r="L640" i="1"/>
  <c r="M640" i="1"/>
  <c r="L496" i="1"/>
  <c r="M496" i="1"/>
  <c r="L480" i="1"/>
  <c r="M480" i="1"/>
  <c r="L448" i="1"/>
  <c r="M448" i="1"/>
  <c r="L432" i="1"/>
  <c r="M432" i="1"/>
  <c r="L384" i="1"/>
  <c r="M384" i="1"/>
  <c r="L288" i="1"/>
  <c r="M288" i="1"/>
  <c r="L272" i="1"/>
  <c r="M272" i="1"/>
  <c r="L256" i="1"/>
  <c r="M256" i="1"/>
  <c r="L240" i="1"/>
  <c r="M240" i="1"/>
  <c r="L192" i="1"/>
  <c r="M192" i="1"/>
  <c r="L176" i="1"/>
  <c r="M176" i="1"/>
  <c r="L160" i="1"/>
  <c r="M160" i="1"/>
  <c r="L96" i="1"/>
  <c r="M96" i="1"/>
  <c r="M930" i="1"/>
  <c r="M866" i="1"/>
  <c r="M672" i="1"/>
  <c r="M266" i="1"/>
  <c r="M130" i="1"/>
  <c r="M82" i="1"/>
  <c r="M10" i="1"/>
  <c r="L975" i="1"/>
  <c r="M975" i="1"/>
  <c r="L943" i="1"/>
  <c r="M943" i="1"/>
  <c r="L927" i="1"/>
  <c r="M927" i="1"/>
  <c r="L879" i="1"/>
  <c r="M879" i="1"/>
  <c r="L719" i="1"/>
  <c r="M719" i="1"/>
  <c r="L687" i="1"/>
  <c r="M687" i="1"/>
  <c r="L671" i="1"/>
  <c r="M671" i="1"/>
  <c r="L623" i="1"/>
  <c r="M623" i="1"/>
  <c r="L479" i="1"/>
  <c r="M479" i="1"/>
  <c r="L431" i="1"/>
  <c r="M431" i="1"/>
  <c r="L415" i="1"/>
  <c r="M415" i="1"/>
  <c r="L383" i="1"/>
  <c r="M383" i="1"/>
  <c r="L271" i="1"/>
  <c r="M271" i="1"/>
  <c r="L255" i="1"/>
  <c r="M255" i="1"/>
  <c r="L239" i="1"/>
  <c r="M239" i="1"/>
  <c r="L175" i="1"/>
  <c r="M175" i="1"/>
  <c r="L159" i="1"/>
  <c r="M159" i="1"/>
  <c r="L143" i="1"/>
  <c r="M143" i="1"/>
  <c r="L95" i="1"/>
  <c r="M95" i="1"/>
  <c r="M929" i="1"/>
  <c r="M865" i="1"/>
  <c r="M690" i="1"/>
  <c r="M650" i="1"/>
  <c r="M410" i="1"/>
  <c r="M129" i="1"/>
  <c r="M106" i="1"/>
  <c r="M81" i="1"/>
  <c r="M26" i="1"/>
  <c r="M993" i="1"/>
  <c r="M928" i="1"/>
  <c r="M864" i="1"/>
  <c r="M753" i="1"/>
  <c r="M689" i="1"/>
  <c r="M626" i="1"/>
  <c r="M512" i="1"/>
  <c r="M450" i="1"/>
  <c r="M304" i="1"/>
  <c r="M178" i="1"/>
  <c r="M128" i="1"/>
  <c r="M80" i="1"/>
  <c r="M42" i="1"/>
  <c r="M992" i="1"/>
  <c r="M906" i="1"/>
  <c r="M863" i="1"/>
  <c r="M770" i="1"/>
  <c r="M752" i="1"/>
  <c r="M625" i="1"/>
  <c r="M511" i="1"/>
  <c r="M447" i="1"/>
  <c r="M386" i="1"/>
  <c r="M303" i="1"/>
  <c r="M242" i="1"/>
  <c r="M127" i="1"/>
  <c r="M79" i="1"/>
  <c r="M970" i="1"/>
  <c r="M786" i="1"/>
  <c r="M769" i="1"/>
  <c r="M751" i="1"/>
  <c r="M666" i="1"/>
  <c r="M624" i="1"/>
  <c r="M529" i="1"/>
  <c r="M490" i="1"/>
  <c r="M426" i="1"/>
  <c r="M385" i="1"/>
  <c r="M322" i="1"/>
  <c r="M282" i="1"/>
  <c r="M241" i="1"/>
  <c r="M218" i="1"/>
  <c r="L939" i="1"/>
  <c r="M939" i="1"/>
  <c r="L875" i="1"/>
  <c r="M875" i="1"/>
  <c r="L859" i="1"/>
  <c r="M859" i="1"/>
  <c r="L843" i="1"/>
  <c r="M843" i="1"/>
  <c r="L699" i="1"/>
  <c r="M699" i="1"/>
  <c r="L619" i="1"/>
  <c r="M619" i="1"/>
  <c r="L603" i="1"/>
  <c r="M603" i="1"/>
  <c r="L459" i="1"/>
  <c r="M459" i="1"/>
  <c r="L363" i="1"/>
  <c r="M363" i="1"/>
  <c r="L347" i="1"/>
  <c r="M347" i="1"/>
  <c r="L219" i="1"/>
  <c r="M219" i="1"/>
  <c r="L203" i="1"/>
  <c r="M203" i="1"/>
  <c r="L139" i="1"/>
  <c r="M139" i="1"/>
  <c r="L107" i="1"/>
  <c r="M107" i="1"/>
  <c r="L91" i="1"/>
  <c r="M91" i="1"/>
  <c r="L75" i="1"/>
  <c r="M75" i="1"/>
  <c r="L59" i="1"/>
  <c r="M59" i="1"/>
  <c r="M946" i="1"/>
  <c r="M923" i="1"/>
  <c r="M802" i="1"/>
  <c r="M785" i="1"/>
  <c r="M768" i="1"/>
  <c r="M730" i="1"/>
  <c r="M618" i="1"/>
  <c r="M546" i="1"/>
  <c r="M528" i="1"/>
  <c r="M379" i="1"/>
  <c r="M321" i="1"/>
  <c r="M122" i="1"/>
  <c r="L926" i="1"/>
  <c r="M926" i="1"/>
  <c r="L910" i="1"/>
  <c r="M910" i="1"/>
  <c r="L670" i="1"/>
  <c r="M670" i="1"/>
  <c r="L654" i="1"/>
  <c r="M654" i="1"/>
  <c r="L414" i="1"/>
  <c r="M414" i="1"/>
  <c r="L398" i="1"/>
  <c r="M398" i="1"/>
  <c r="L158" i="1"/>
  <c r="M158" i="1"/>
  <c r="L142" i="1"/>
  <c r="M142" i="1"/>
  <c r="L126" i="1"/>
  <c r="M126" i="1"/>
  <c r="M862" i="1"/>
  <c r="L909" i="1"/>
  <c r="M909" i="1"/>
  <c r="L893" i="1"/>
  <c r="M893" i="1"/>
  <c r="L653" i="1"/>
  <c r="M653" i="1"/>
  <c r="L637" i="1"/>
  <c r="M637" i="1"/>
  <c r="L397" i="1"/>
  <c r="M397" i="1"/>
  <c r="L141" i="1"/>
  <c r="M141" i="1"/>
  <c r="L125" i="1"/>
  <c r="M125" i="1"/>
  <c r="L109" i="1"/>
  <c r="M109" i="1"/>
  <c r="L382" i="1"/>
  <c r="M861" i="1"/>
  <c r="M718" i="1"/>
  <c r="M622" i="1"/>
  <c r="M238" i="1"/>
  <c r="M157" i="1"/>
  <c r="L876" i="1"/>
  <c r="M876" i="1"/>
  <c r="L620" i="1"/>
  <c r="M620" i="1"/>
  <c r="M364" i="1"/>
  <c r="L364" i="1"/>
  <c r="L124" i="1"/>
  <c r="M124" i="1"/>
  <c r="L381" i="1"/>
  <c r="M860" i="1"/>
  <c r="M717" i="1"/>
  <c r="M621" i="1"/>
  <c r="M254" i="1"/>
  <c r="M237" i="1"/>
  <c r="M156" i="1"/>
  <c r="M4" i="1"/>
  <c r="M3" i="1"/>
  <c r="M2" i="1"/>
  <c r="O84" i="1" l="1"/>
  <c r="N893" i="1"/>
  <c r="O893" i="1"/>
  <c r="N402" i="1"/>
  <c r="O402" i="1"/>
  <c r="N803" i="1"/>
  <c r="O803" i="1"/>
  <c r="N413" i="1"/>
  <c r="O413" i="1"/>
  <c r="N800" i="1"/>
  <c r="O800" i="1"/>
  <c r="N670" i="1"/>
  <c r="O670" i="1"/>
  <c r="N347" i="1"/>
  <c r="O347" i="1"/>
  <c r="N289" i="1"/>
  <c r="O289" i="1"/>
  <c r="N134" i="1"/>
  <c r="O134" i="1"/>
  <c r="N783" i="1"/>
  <c r="O783" i="1"/>
  <c r="N468" i="1"/>
  <c r="O468" i="1"/>
  <c r="N934" i="1"/>
  <c r="O934" i="1"/>
  <c r="N909" i="1"/>
  <c r="O909" i="1"/>
  <c r="N271" i="1"/>
  <c r="O271" i="1"/>
  <c r="N51" i="1"/>
  <c r="O51" i="1"/>
  <c r="N819" i="1"/>
  <c r="O819" i="1"/>
  <c r="N571" i="1"/>
  <c r="O571" i="1"/>
  <c r="N381" i="1"/>
  <c r="O381" i="1"/>
  <c r="N879" i="1"/>
  <c r="O879" i="1"/>
  <c r="N451" i="1"/>
  <c r="O451" i="1"/>
  <c r="N172" i="1"/>
  <c r="O172" i="1"/>
  <c r="N199" i="1"/>
  <c r="O199" i="1"/>
  <c r="N711" i="1"/>
  <c r="O711" i="1"/>
  <c r="N715" i="1"/>
  <c r="O715" i="1"/>
  <c r="N593" i="1"/>
  <c r="O593" i="1"/>
  <c r="N197" i="1"/>
  <c r="O197" i="1"/>
  <c r="N661" i="1"/>
  <c r="O661" i="1"/>
  <c r="N743" i="1"/>
  <c r="O743" i="1"/>
  <c r="N610" i="1"/>
  <c r="O610" i="1"/>
  <c r="N126" i="1"/>
  <c r="O126" i="1"/>
  <c r="N97" i="1"/>
  <c r="O97" i="1"/>
  <c r="N518" i="1"/>
  <c r="O518" i="1"/>
  <c r="N945" i="1"/>
  <c r="O945" i="1"/>
  <c r="N68" i="1"/>
  <c r="O68" i="1"/>
  <c r="N596" i="1"/>
  <c r="O596" i="1"/>
  <c r="N125" i="1"/>
  <c r="O125" i="1"/>
  <c r="N95" i="1"/>
  <c r="O95" i="1"/>
  <c r="N415" i="1"/>
  <c r="O415" i="1"/>
  <c r="N927" i="1"/>
  <c r="O927" i="1"/>
  <c r="N194" i="1"/>
  <c r="O194" i="1"/>
  <c r="N498" i="1"/>
  <c r="O498" i="1"/>
  <c r="N83" i="1"/>
  <c r="O83" i="1"/>
  <c r="N339" i="1"/>
  <c r="O339" i="1"/>
  <c r="N467" i="1"/>
  <c r="O467" i="1"/>
  <c r="N723" i="1"/>
  <c r="O723" i="1"/>
  <c r="N851" i="1"/>
  <c r="O851" i="1"/>
  <c r="N314" i="1"/>
  <c r="O314" i="1"/>
  <c r="N45" i="1"/>
  <c r="O45" i="1"/>
  <c r="N222" i="1"/>
  <c r="O222" i="1"/>
  <c r="N686" i="1"/>
  <c r="O686" i="1"/>
  <c r="N297" i="1"/>
  <c r="O297" i="1"/>
  <c r="N267" i="1"/>
  <c r="O267" i="1"/>
  <c r="N487" i="1"/>
  <c r="O487" i="1"/>
  <c r="N999" i="1"/>
  <c r="O999" i="1"/>
  <c r="N747" i="1"/>
  <c r="O747" i="1"/>
  <c r="N293" i="1"/>
  <c r="O293" i="1"/>
  <c r="N805" i="1"/>
  <c r="O805" i="1"/>
  <c r="N791" i="1"/>
  <c r="O791" i="1"/>
  <c r="N121" i="1"/>
  <c r="O121" i="1"/>
  <c r="N902" i="1"/>
  <c r="O902" i="1"/>
  <c r="N991" i="1"/>
  <c r="O991" i="1"/>
  <c r="N142" i="1"/>
  <c r="O142" i="1"/>
  <c r="N91" i="1"/>
  <c r="O91" i="1"/>
  <c r="N176" i="1"/>
  <c r="O176" i="1"/>
  <c r="N944" i="1"/>
  <c r="O944" i="1"/>
  <c r="N449" i="1"/>
  <c r="O449" i="1"/>
  <c r="N881" i="1"/>
  <c r="O881" i="1"/>
  <c r="N739" i="1"/>
  <c r="O739" i="1"/>
  <c r="N294" i="1"/>
  <c r="O294" i="1"/>
  <c r="N534" i="1"/>
  <c r="O534" i="1"/>
  <c r="N376" i="1"/>
  <c r="O376" i="1"/>
  <c r="N56" i="1"/>
  <c r="O56" i="1"/>
  <c r="N616" i="1"/>
  <c r="O616" i="1"/>
  <c r="N569" i="1"/>
  <c r="O569" i="1"/>
  <c r="N64" i="1"/>
  <c r="O64" i="1"/>
  <c r="N418" i="1"/>
  <c r="O418" i="1"/>
  <c r="N132" i="1"/>
  <c r="O132" i="1"/>
  <c r="N644" i="1"/>
  <c r="O644" i="1"/>
  <c r="N646" i="1"/>
  <c r="O646" i="1"/>
  <c r="N431" i="1"/>
  <c r="O431" i="1"/>
  <c r="N210" i="1"/>
  <c r="O210" i="1"/>
  <c r="N994" i="1"/>
  <c r="O994" i="1"/>
  <c r="N99" i="1"/>
  <c r="O99" i="1"/>
  <c r="N355" i="1"/>
  <c r="O355" i="1"/>
  <c r="N483" i="1"/>
  <c r="O483" i="1"/>
  <c r="N867" i="1"/>
  <c r="O867" i="1"/>
  <c r="N330" i="1"/>
  <c r="O330" i="1"/>
  <c r="N173" i="1"/>
  <c r="O173" i="1"/>
  <c r="N270" i="1"/>
  <c r="O270" i="1"/>
  <c r="N974" i="1"/>
  <c r="O974" i="1"/>
  <c r="N409" i="1"/>
  <c r="O409" i="1"/>
  <c r="N807" i="1"/>
  <c r="O807" i="1"/>
  <c r="N732" i="1"/>
  <c r="O732" i="1"/>
  <c r="N748" i="1"/>
  <c r="O748" i="1"/>
  <c r="N897" i="1"/>
  <c r="O897" i="1"/>
  <c r="N949" i="1"/>
  <c r="O949" i="1"/>
  <c r="N536" i="1"/>
  <c r="O536" i="1"/>
  <c r="N137" i="1"/>
  <c r="O137" i="1"/>
  <c r="N236" i="1"/>
  <c r="O236" i="1"/>
  <c r="N516" i="1"/>
  <c r="O516" i="1"/>
  <c r="N619" i="1"/>
  <c r="O619" i="1"/>
  <c r="N480" i="1"/>
  <c r="O480" i="1"/>
  <c r="N177" i="1"/>
  <c r="O177" i="1"/>
  <c r="N465" i="1"/>
  <c r="O465" i="1"/>
  <c r="N961" i="1"/>
  <c r="O961" i="1"/>
  <c r="N326" i="1"/>
  <c r="O326" i="1"/>
  <c r="N566" i="1"/>
  <c r="O566" i="1"/>
  <c r="N982" i="1"/>
  <c r="O982" i="1"/>
  <c r="N488" i="1"/>
  <c r="O488" i="1"/>
  <c r="N572" i="1"/>
  <c r="O572" i="1"/>
  <c r="N145" i="1"/>
  <c r="O145" i="1"/>
  <c r="N885" i="1"/>
  <c r="O885" i="1"/>
  <c r="N88" i="1"/>
  <c r="O88" i="1"/>
  <c r="N712" i="1"/>
  <c r="O712" i="1"/>
  <c r="N25" i="1"/>
  <c r="O25" i="1"/>
  <c r="N681" i="1"/>
  <c r="O681" i="1"/>
  <c r="N63" i="1"/>
  <c r="O63" i="1"/>
  <c r="N224" i="1"/>
  <c r="O224" i="1"/>
  <c r="N594" i="1"/>
  <c r="O594" i="1"/>
  <c r="N60" i="1"/>
  <c r="O60" i="1"/>
  <c r="N228" i="1"/>
  <c r="O228" i="1"/>
  <c r="N836" i="1"/>
  <c r="O836" i="1"/>
  <c r="N694" i="1"/>
  <c r="O694" i="1"/>
  <c r="N255" i="1"/>
  <c r="O255" i="1"/>
  <c r="N35" i="1"/>
  <c r="O35" i="1"/>
  <c r="N675" i="1"/>
  <c r="O675" i="1"/>
  <c r="N586" i="1"/>
  <c r="O586" i="1"/>
  <c r="N201" i="1"/>
  <c r="O201" i="1"/>
  <c r="N683" i="1"/>
  <c r="O683" i="1"/>
  <c r="N615" i="1"/>
  <c r="O615" i="1"/>
  <c r="N508" i="1"/>
  <c r="O508" i="1"/>
  <c r="N117" i="1"/>
  <c r="O117" i="1"/>
  <c r="N633" i="1"/>
  <c r="O633" i="1"/>
  <c r="N396" i="1"/>
  <c r="O396" i="1"/>
  <c r="N200" i="1"/>
  <c r="O200" i="1"/>
  <c r="N849" i="1"/>
  <c r="O849" i="1"/>
  <c r="N328" i="1"/>
  <c r="O328" i="1"/>
  <c r="N784" i="1"/>
  <c r="O784" i="1"/>
  <c r="N719" i="1"/>
  <c r="O719" i="1"/>
  <c r="N754" i="1"/>
  <c r="O754" i="1"/>
  <c r="N435" i="1"/>
  <c r="O435" i="1"/>
  <c r="N947" i="1"/>
  <c r="O947" i="1"/>
  <c r="N62" i="1"/>
  <c r="O62" i="1"/>
  <c r="N233" i="1"/>
  <c r="O233" i="1"/>
  <c r="N763" i="1"/>
  <c r="O763" i="1"/>
  <c r="N848" i="1"/>
  <c r="O848" i="1"/>
  <c r="N167" i="1"/>
  <c r="O167" i="1"/>
  <c r="N951" i="1"/>
  <c r="O951" i="1"/>
  <c r="N533" i="1"/>
  <c r="O533" i="1"/>
  <c r="N274" i="1"/>
  <c r="O274" i="1"/>
  <c r="N486" i="1"/>
  <c r="O486" i="1"/>
  <c r="N913" i="1"/>
  <c r="O913" i="1"/>
  <c r="N360" i="1"/>
  <c r="O360" i="1"/>
  <c r="N636" i="1"/>
  <c r="O636" i="1"/>
  <c r="N799" i="1"/>
  <c r="O799" i="1"/>
  <c r="N18" i="1"/>
  <c r="O18" i="1"/>
  <c r="N580" i="1"/>
  <c r="O580" i="1"/>
  <c r="N898" i="1"/>
  <c r="O898" i="1"/>
  <c r="N707" i="1"/>
  <c r="O707" i="1"/>
  <c r="N698" i="1"/>
  <c r="O698" i="1"/>
  <c r="N174" i="1"/>
  <c r="O174" i="1"/>
  <c r="N841" i="1"/>
  <c r="O841" i="1"/>
  <c r="N655" i="1"/>
  <c r="O655" i="1"/>
  <c r="N391" i="1"/>
  <c r="O391" i="1"/>
  <c r="N891" i="1"/>
  <c r="O891" i="1"/>
  <c r="N75" i="1"/>
  <c r="O75" i="1"/>
  <c r="N160" i="1"/>
  <c r="O160" i="1"/>
  <c r="N737" i="1"/>
  <c r="O737" i="1"/>
  <c r="N248" i="1"/>
  <c r="O248" i="1"/>
  <c r="N693" i="1"/>
  <c r="O693" i="1"/>
  <c r="N552" i="1"/>
  <c r="O552" i="1"/>
  <c r="N66" i="1"/>
  <c r="O66" i="1"/>
  <c r="N124" i="1"/>
  <c r="O124" i="1"/>
  <c r="N978" i="1"/>
  <c r="O978" i="1"/>
  <c r="N211" i="1"/>
  <c r="O211" i="1"/>
  <c r="N595" i="1"/>
  <c r="O595" i="1"/>
  <c r="N979" i="1"/>
  <c r="O979" i="1"/>
  <c r="N842" i="1"/>
  <c r="O842" i="1"/>
  <c r="N573" i="1"/>
  <c r="O573" i="1"/>
  <c r="N1001" i="1"/>
  <c r="O1001" i="1"/>
  <c r="N735" i="1"/>
  <c r="O735" i="1"/>
  <c r="N231" i="1"/>
  <c r="O231" i="1"/>
  <c r="N775" i="1"/>
  <c r="O775" i="1"/>
  <c r="N684" i="1"/>
  <c r="O684" i="1"/>
  <c r="N657" i="1"/>
  <c r="O657" i="1"/>
  <c r="N92" i="1"/>
  <c r="O92" i="1"/>
  <c r="N456" i="1"/>
  <c r="O456" i="1"/>
  <c r="N937" i="1"/>
  <c r="O937" i="1"/>
  <c r="N188" i="1"/>
  <c r="O188" i="1"/>
  <c r="N196" i="1"/>
  <c r="O196" i="1"/>
  <c r="N364" i="1"/>
  <c r="O364" i="1"/>
  <c r="N603" i="1"/>
  <c r="O603" i="1"/>
  <c r="N448" i="1"/>
  <c r="O448" i="1"/>
  <c r="N161" i="1"/>
  <c r="O161" i="1"/>
  <c r="N950" i="1"/>
  <c r="O950" i="1"/>
  <c r="N741" i="1"/>
  <c r="O741" i="1"/>
  <c r="N141" i="1"/>
  <c r="O141" i="1"/>
  <c r="N143" i="1"/>
  <c r="O143" i="1"/>
  <c r="N943" i="1"/>
  <c r="O943" i="1"/>
  <c r="N514" i="1"/>
  <c r="O514" i="1"/>
  <c r="N227" i="1"/>
  <c r="O227" i="1"/>
  <c r="N611" i="1"/>
  <c r="O611" i="1"/>
  <c r="N995" i="1"/>
  <c r="O995" i="1"/>
  <c r="N858" i="1"/>
  <c r="O858" i="1"/>
  <c r="N589" i="1"/>
  <c r="O589" i="1"/>
  <c r="N299" i="1"/>
  <c r="O299" i="1"/>
  <c r="N352" i="1"/>
  <c r="O352" i="1"/>
  <c r="N247" i="1"/>
  <c r="O247" i="1"/>
  <c r="N519" i="1"/>
  <c r="O519" i="1"/>
  <c r="N779" i="1"/>
  <c r="O779" i="1"/>
  <c r="N325" i="1"/>
  <c r="O325" i="1"/>
  <c r="N839" i="1"/>
  <c r="O839" i="1"/>
  <c r="N476" i="1"/>
  <c r="O476" i="1"/>
  <c r="N308" i="1"/>
  <c r="O308" i="1"/>
  <c r="N158" i="1"/>
  <c r="O158" i="1"/>
  <c r="N107" i="1"/>
  <c r="O107" i="1"/>
  <c r="N192" i="1"/>
  <c r="O192" i="1"/>
  <c r="N960" i="1"/>
  <c r="O960" i="1"/>
  <c r="N620" i="1"/>
  <c r="O620" i="1"/>
  <c r="N397" i="1"/>
  <c r="O397" i="1"/>
  <c r="N159" i="1"/>
  <c r="O159" i="1"/>
  <c r="N479" i="1"/>
  <c r="O479" i="1"/>
  <c r="N975" i="1"/>
  <c r="O975" i="1"/>
  <c r="N226" i="1"/>
  <c r="O226" i="1"/>
  <c r="N530" i="1"/>
  <c r="O530" i="1"/>
  <c r="N115" i="1"/>
  <c r="O115" i="1"/>
  <c r="N243" i="1"/>
  <c r="O243" i="1"/>
  <c r="N371" i="1"/>
  <c r="O371" i="1"/>
  <c r="N499" i="1"/>
  <c r="O499" i="1"/>
  <c r="N627" i="1"/>
  <c r="O627" i="1"/>
  <c r="N755" i="1"/>
  <c r="O755" i="1"/>
  <c r="N883" i="1"/>
  <c r="O883" i="1"/>
  <c r="N346" i="1"/>
  <c r="O346" i="1"/>
  <c r="N938" i="1"/>
  <c r="O938" i="1"/>
  <c r="N221" i="1"/>
  <c r="O221" i="1"/>
  <c r="N685" i="1"/>
  <c r="O685" i="1"/>
  <c r="N318" i="1"/>
  <c r="O318" i="1"/>
  <c r="N716" i="1"/>
  <c r="O716" i="1"/>
  <c r="N617" i="1"/>
  <c r="O617" i="1"/>
  <c r="N507" i="1"/>
  <c r="O507" i="1"/>
  <c r="N544" i="1"/>
  <c r="O544" i="1"/>
  <c r="N652" i="1"/>
  <c r="O652" i="1"/>
  <c r="N263" i="1"/>
  <c r="O263" i="1"/>
  <c r="N535" i="1"/>
  <c r="O535" i="1"/>
  <c r="N823" i="1"/>
  <c r="O823" i="1"/>
  <c r="N27" i="1"/>
  <c r="O27" i="1"/>
  <c r="N828" i="1"/>
  <c r="O828" i="1"/>
  <c r="N33" i="1"/>
  <c r="O33" i="1"/>
  <c r="N357" i="1"/>
  <c r="O357" i="1"/>
  <c r="N981" i="1"/>
  <c r="O981" i="1"/>
  <c r="N343" i="1"/>
  <c r="O343" i="1"/>
  <c r="N935" i="1"/>
  <c r="O935" i="1"/>
  <c r="N632" i="1"/>
  <c r="O632" i="1"/>
  <c r="N185" i="1"/>
  <c r="O185" i="1"/>
  <c r="N123" i="1"/>
  <c r="O123" i="1"/>
  <c r="N300" i="1"/>
  <c r="O300" i="1"/>
  <c r="N477" i="1"/>
  <c r="O477" i="1"/>
  <c r="N740" i="1"/>
  <c r="O740" i="1"/>
  <c r="N628" i="1"/>
  <c r="O628" i="1"/>
  <c r="N878" i="1"/>
  <c r="O878" i="1"/>
  <c r="N687" i="1"/>
  <c r="O687" i="1"/>
  <c r="N738" i="1"/>
  <c r="O738" i="1"/>
  <c r="N163" i="1"/>
  <c r="O163" i="1"/>
  <c r="N291" i="1"/>
  <c r="O291" i="1"/>
  <c r="N419" i="1"/>
  <c r="O419" i="1"/>
  <c r="N547" i="1"/>
  <c r="O547" i="1"/>
  <c r="N931" i="1"/>
  <c r="O931" i="1"/>
  <c r="N90" i="1"/>
  <c r="O90" i="1"/>
  <c r="N46" i="1"/>
  <c r="O46" i="1"/>
  <c r="N777" i="1"/>
  <c r="O777" i="1"/>
  <c r="N543" i="1"/>
  <c r="O543" i="1"/>
  <c r="N135" i="1"/>
  <c r="O135" i="1"/>
  <c r="N359" i="1"/>
  <c r="O359" i="1"/>
  <c r="N919" i="1"/>
  <c r="O919" i="1"/>
  <c r="N411" i="1"/>
  <c r="O411" i="1"/>
  <c r="N417" i="1"/>
  <c r="O417" i="1"/>
  <c r="N437" i="1"/>
  <c r="O437" i="1"/>
  <c r="N647" i="1"/>
  <c r="O647" i="1"/>
  <c r="N184" i="1"/>
  <c r="O184" i="1"/>
  <c r="N792" i="1"/>
  <c r="O792" i="1"/>
  <c r="N539" i="1"/>
  <c r="O539" i="1"/>
  <c r="N614" i="1"/>
  <c r="O614" i="1"/>
  <c r="N895" i="1"/>
  <c r="O895" i="1"/>
  <c r="N875" i="1"/>
  <c r="O875" i="1"/>
  <c r="N288" i="1"/>
  <c r="O288" i="1"/>
  <c r="N704" i="1"/>
  <c r="O704" i="1"/>
  <c r="N705" i="1"/>
  <c r="O705" i="1"/>
  <c r="N438" i="1"/>
  <c r="O438" i="1"/>
  <c r="N870" i="1"/>
  <c r="O870" i="1"/>
  <c r="N1000" i="1"/>
  <c r="O1000" i="1"/>
  <c r="N485" i="1"/>
  <c r="O485" i="1"/>
  <c r="N377" i="1"/>
  <c r="O377" i="1"/>
  <c r="N76" i="1"/>
  <c r="O76" i="1"/>
  <c r="N406" i="1"/>
  <c r="O406" i="1"/>
  <c r="N382" i="1"/>
  <c r="O382" i="1"/>
  <c r="N98" i="1"/>
  <c r="O98" i="1"/>
  <c r="N466" i="1"/>
  <c r="O466" i="1"/>
  <c r="N179" i="1"/>
  <c r="O179" i="1"/>
  <c r="N307" i="1"/>
  <c r="O307" i="1"/>
  <c r="N563" i="1"/>
  <c r="O563" i="1"/>
  <c r="N691" i="1"/>
  <c r="O691" i="1"/>
  <c r="N138" i="1"/>
  <c r="O138" i="1"/>
  <c r="N602" i="1"/>
  <c r="O602" i="1"/>
  <c r="N461" i="1"/>
  <c r="O461" i="1"/>
  <c r="N590" i="1"/>
  <c r="O590" i="1"/>
  <c r="N825" i="1"/>
  <c r="O825" i="1"/>
  <c r="N11" i="1"/>
  <c r="O11" i="1"/>
  <c r="N607" i="1"/>
  <c r="O607" i="1"/>
  <c r="N375" i="1"/>
  <c r="O375" i="1"/>
  <c r="N663" i="1"/>
  <c r="O663" i="1"/>
  <c r="N588" i="1"/>
  <c r="O588" i="1"/>
  <c r="N481" i="1"/>
  <c r="O481" i="1"/>
  <c r="N149" i="1"/>
  <c r="O149" i="1"/>
  <c r="N695" i="1"/>
  <c r="O695" i="1"/>
  <c r="N344" i="1"/>
  <c r="O344" i="1"/>
  <c r="N936" i="1"/>
  <c r="O936" i="1"/>
  <c r="N793" i="1"/>
  <c r="O793" i="1"/>
  <c r="N795" i="1"/>
  <c r="O795" i="1"/>
  <c r="N729" i="1"/>
  <c r="O729" i="1"/>
  <c r="N252" i="1"/>
  <c r="O252" i="1"/>
  <c r="N726" i="1"/>
  <c r="O726" i="1"/>
  <c r="N910" i="1"/>
  <c r="O910" i="1"/>
  <c r="N59" i="1"/>
  <c r="O59" i="1"/>
  <c r="N363" i="1"/>
  <c r="O363" i="1"/>
  <c r="N939" i="1"/>
  <c r="O939" i="1"/>
  <c r="N96" i="1"/>
  <c r="O96" i="1"/>
  <c r="N384" i="1"/>
  <c r="O384" i="1"/>
  <c r="N736" i="1"/>
  <c r="O736" i="1"/>
  <c r="N305" i="1"/>
  <c r="O305" i="1"/>
  <c r="N721" i="1"/>
  <c r="O721" i="1"/>
  <c r="N198" i="1"/>
  <c r="O198" i="1"/>
  <c r="N886" i="1"/>
  <c r="O886" i="1"/>
  <c r="N232" i="1"/>
  <c r="O232" i="1"/>
  <c r="N517" i="1"/>
  <c r="O517" i="1"/>
  <c r="N668" i="1"/>
  <c r="O668" i="1"/>
  <c r="N505" i="1"/>
  <c r="O505" i="1"/>
  <c r="N896" i="1"/>
  <c r="O896" i="1"/>
  <c r="N20" i="1"/>
  <c r="O20" i="1"/>
  <c r="N470" i="1"/>
  <c r="O470" i="1"/>
  <c r="N998" i="1"/>
  <c r="O998" i="1"/>
  <c r="N109" i="1"/>
  <c r="O109" i="1"/>
  <c r="N383" i="1"/>
  <c r="O383" i="1"/>
  <c r="N162" i="1"/>
  <c r="O162" i="1"/>
  <c r="N482" i="1"/>
  <c r="O482" i="1"/>
  <c r="N67" i="1"/>
  <c r="O67" i="1"/>
  <c r="N195" i="1"/>
  <c r="O195" i="1"/>
  <c r="N323" i="1"/>
  <c r="O323" i="1"/>
  <c r="N579" i="1"/>
  <c r="O579" i="1"/>
  <c r="N835" i="1"/>
  <c r="O835" i="1"/>
  <c r="N963" i="1"/>
  <c r="O963" i="1"/>
  <c r="N202" i="1"/>
  <c r="O202" i="1"/>
  <c r="N509" i="1"/>
  <c r="O509" i="1"/>
  <c r="N638" i="1"/>
  <c r="O638" i="1"/>
  <c r="N265" i="1"/>
  <c r="O265" i="1"/>
  <c r="N171" i="1"/>
  <c r="O171" i="1"/>
  <c r="N827" i="1"/>
  <c r="O827" i="1"/>
  <c r="N912" i="1"/>
  <c r="O912" i="1"/>
  <c r="N983" i="1"/>
  <c r="O983" i="1"/>
  <c r="N408" i="1"/>
  <c r="O408" i="1"/>
  <c r="N380" i="1"/>
  <c r="O380" i="1"/>
  <c r="N889" i="1"/>
  <c r="O889" i="1"/>
  <c r="N457" i="1"/>
  <c r="O457" i="1"/>
  <c r="N926" i="1"/>
  <c r="O926" i="1"/>
  <c r="N459" i="1"/>
  <c r="O459" i="1"/>
  <c r="N432" i="1"/>
  <c r="O432" i="1"/>
  <c r="N880" i="1"/>
  <c r="O880" i="1"/>
  <c r="N401" i="1"/>
  <c r="O401" i="1"/>
  <c r="N230" i="1"/>
  <c r="O230" i="1"/>
  <c r="N918" i="1"/>
  <c r="O918" i="1"/>
  <c r="N24" i="1"/>
  <c r="O24" i="1"/>
  <c r="N553" i="1"/>
  <c r="O553" i="1"/>
  <c r="N598" i="1"/>
  <c r="O598" i="1"/>
  <c r="N398" i="1"/>
  <c r="O398" i="1"/>
  <c r="N139" i="1"/>
  <c r="O139" i="1"/>
  <c r="N699" i="1"/>
  <c r="O699" i="1"/>
  <c r="N240" i="1"/>
  <c r="O240" i="1"/>
  <c r="N496" i="1"/>
  <c r="O496" i="1"/>
  <c r="N976" i="1"/>
  <c r="O976" i="1"/>
  <c r="N193" i="1"/>
  <c r="O193" i="1"/>
  <c r="N497" i="1"/>
  <c r="O497" i="1"/>
  <c r="N977" i="1"/>
  <c r="O977" i="1"/>
  <c r="N899" i="1"/>
  <c r="O899" i="1"/>
  <c r="N6" i="1"/>
  <c r="O6" i="1"/>
  <c r="N358" i="1"/>
  <c r="O358" i="1"/>
  <c r="N662" i="1"/>
  <c r="O662" i="1"/>
  <c r="N568" i="1"/>
  <c r="O568" i="1"/>
  <c r="N764" i="1"/>
  <c r="O764" i="1"/>
  <c r="N545" i="1"/>
  <c r="O545" i="1"/>
  <c r="N133" i="1"/>
  <c r="O133" i="1"/>
  <c r="N168" i="1"/>
  <c r="O168" i="1"/>
  <c r="N776" i="1"/>
  <c r="O776" i="1"/>
  <c r="N57" i="1"/>
  <c r="O57" i="1"/>
  <c r="N761" i="1"/>
  <c r="O761" i="1"/>
  <c r="N892" i="1"/>
  <c r="O892" i="1"/>
  <c r="N319" i="1"/>
  <c r="O319" i="1"/>
  <c r="N320" i="1"/>
  <c r="O320" i="1"/>
  <c r="N834" i="1"/>
  <c r="O834" i="1"/>
  <c r="N244" i="1"/>
  <c r="O244" i="1"/>
  <c r="N884" i="1"/>
  <c r="O884" i="1"/>
  <c r="N108" i="1"/>
  <c r="O108" i="1"/>
  <c r="N742" i="1"/>
  <c r="O742" i="1"/>
  <c r="N876" i="1"/>
  <c r="O876" i="1"/>
  <c r="N637" i="1"/>
  <c r="O637" i="1"/>
  <c r="N175" i="1"/>
  <c r="O175" i="1"/>
  <c r="N623" i="1"/>
  <c r="O623" i="1"/>
  <c r="N290" i="1"/>
  <c r="O290" i="1"/>
  <c r="N642" i="1"/>
  <c r="O642" i="1"/>
  <c r="N5" i="1"/>
  <c r="O5" i="1"/>
  <c r="N131" i="1"/>
  <c r="O131" i="1"/>
  <c r="N259" i="1"/>
  <c r="O259" i="1"/>
  <c r="N387" i="1"/>
  <c r="O387" i="1"/>
  <c r="N515" i="1"/>
  <c r="O515" i="1"/>
  <c r="N643" i="1"/>
  <c r="O643" i="1"/>
  <c r="N771" i="1"/>
  <c r="O771" i="1"/>
  <c r="N58" i="1"/>
  <c r="O58" i="1"/>
  <c r="N362" i="1"/>
  <c r="O362" i="1"/>
  <c r="N28" i="1"/>
  <c r="O28" i="1"/>
  <c r="N269" i="1"/>
  <c r="O269" i="1"/>
  <c r="N845" i="1"/>
  <c r="O845" i="1"/>
  <c r="N430" i="1"/>
  <c r="O430" i="1"/>
  <c r="N9" i="1"/>
  <c r="O9" i="1"/>
  <c r="N713" i="1"/>
  <c r="O713" i="1"/>
  <c r="N555" i="1"/>
  <c r="O555" i="1"/>
  <c r="N223" i="1"/>
  <c r="O223" i="1"/>
  <c r="N656" i="1"/>
  <c r="O656" i="1"/>
  <c r="N7" i="1"/>
  <c r="O7" i="1"/>
  <c r="N295" i="1"/>
  <c r="O295" i="1"/>
  <c r="N551" i="1"/>
  <c r="O551" i="1"/>
  <c r="N871" i="1"/>
  <c r="O871" i="1"/>
  <c r="N43" i="1"/>
  <c r="O43" i="1"/>
  <c r="N412" i="1"/>
  <c r="O412" i="1"/>
  <c r="N65" i="1"/>
  <c r="O65" i="1"/>
  <c r="N37" i="1"/>
  <c r="O37" i="1"/>
  <c r="N389" i="1"/>
  <c r="O389" i="1"/>
  <c r="N407" i="1"/>
  <c r="O407" i="1"/>
  <c r="N696" i="1"/>
  <c r="O696" i="1"/>
  <c r="N345" i="1"/>
  <c r="O345" i="1"/>
  <c r="N187" i="1"/>
  <c r="O187" i="1"/>
  <c r="N348" i="1"/>
  <c r="O348" i="1"/>
  <c r="N708" i="1"/>
  <c r="O708" i="1"/>
  <c r="N894" i="1"/>
  <c r="O894" i="1"/>
  <c r="N414" i="1"/>
  <c r="O414" i="1"/>
  <c r="N203" i="1"/>
  <c r="O203" i="1"/>
  <c r="N843" i="1"/>
  <c r="O843" i="1"/>
  <c r="N256" i="1"/>
  <c r="O256" i="1"/>
  <c r="N640" i="1"/>
  <c r="O640" i="1"/>
  <c r="N209" i="1"/>
  <c r="O209" i="1"/>
  <c r="N513" i="1"/>
  <c r="O513" i="1"/>
  <c r="N86" i="1"/>
  <c r="O86" i="1"/>
  <c r="N374" i="1"/>
  <c r="O374" i="1"/>
  <c r="N806" i="1"/>
  <c r="O806" i="1"/>
  <c r="N824" i="1"/>
  <c r="O824" i="1"/>
  <c r="N844" i="1"/>
  <c r="O844" i="1"/>
  <c r="N609" i="1"/>
  <c r="O609" i="1"/>
  <c r="N341" i="1"/>
  <c r="O341" i="1"/>
  <c r="N264" i="1"/>
  <c r="O264" i="1"/>
  <c r="N888" i="1"/>
  <c r="O888" i="1"/>
  <c r="N89" i="1"/>
  <c r="O89" i="1"/>
  <c r="N956" i="1"/>
  <c r="O956" i="1"/>
  <c r="N351" i="1"/>
  <c r="O351" i="1"/>
  <c r="N592" i="1"/>
  <c r="O592" i="1"/>
  <c r="N882" i="1"/>
  <c r="O882" i="1"/>
  <c r="N292" i="1"/>
  <c r="O292" i="1"/>
  <c r="N996" i="1"/>
  <c r="O996" i="1"/>
  <c r="N22" i="1"/>
  <c r="O22" i="1"/>
  <c r="N790" i="1"/>
  <c r="O790" i="1"/>
  <c r="N653" i="1"/>
  <c r="O653" i="1"/>
  <c r="N239" i="1"/>
  <c r="O239" i="1"/>
  <c r="N671" i="1"/>
  <c r="O671" i="1"/>
  <c r="N306" i="1"/>
  <c r="O306" i="1"/>
  <c r="N722" i="1"/>
  <c r="O722" i="1"/>
  <c r="N19" i="1"/>
  <c r="O19" i="1"/>
  <c r="N147" i="1"/>
  <c r="O147" i="1"/>
  <c r="N275" i="1"/>
  <c r="O275" i="1"/>
  <c r="N403" i="1"/>
  <c r="O403" i="1"/>
  <c r="N531" i="1"/>
  <c r="O531" i="1"/>
  <c r="N659" i="1"/>
  <c r="O659" i="1"/>
  <c r="N787" i="1"/>
  <c r="O787" i="1"/>
  <c r="N915" i="1"/>
  <c r="O915" i="1"/>
  <c r="N74" i="1"/>
  <c r="O74" i="1"/>
  <c r="N442" i="1"/>
  <c r="O442" i="1"/>
  <c r="N44" i="1"/>
  <c r="O44" i="1"/>
  <c r="N317" i="1"/>
  <c r="O317" i="1"/>
  <c r="N973" i="1"/>
  <c r="O973" i="1"/>
  <c r="N462" i="1"/>
  <c r="O462" i="1"/>
  <c r="N169" i="1"/>
  <c r="O169" i="1"/>
  <c r="N745" i="1"/>
  <c r="O745" i="1"/>
  <c r="N635" i="1"/>
  <c r="O635" i="1"/>
  <c r="N287" i="1"/>
  <c r="O287" i="1"/>
  <c r="N720" i="1"/>
  <c r="O720" i="1"/>
  <c r="N87" i="1"/>
  <c r="O87" i="1"/>
  <c r="N327" i="1"/>
  <c r="O327" i="1"/>
  <c r="N567" i="1"/>
  <c r="O567" i="1"/>
  <c r="N887" i="1"/>
  <c r="O887" i="1"/>
  <c r="N251" i="1"/>
  <c r="O251" i="1"/>
  <c r="N460" i="1"/>
  <c r="O460" i="1"/>
  <c r="N337" i="1"/>
  <c r="O337" i="1"/>
  <c r="N101" i="1"/>
  <c r="O101" i="1"/>
  <c r="N421" i="1"/>
  <c r="O421" i="1"/>
  <c r="N599" i="1"/>
  <c r="O599" i="1"/>
  <c r="N136" i="1"/>
  <c r="O136" i="1"/>
  <c r="N744" i="1"/>
  <c r="O744" i="1"/>
  <c r="N537" i="1"/>
  <c r="O537" i="1"/>
  <c r="N235" i="1"/>
  <c r="O235" i="1"/>
  <c r="N540" i="1"/>
  <c r="O540" i="1"/>
  <c r="N220" i="1"/>
  <c r="O220" i="1"/>
  <c r="N724" i="1"/>
  <c r="O724" i="1"/>
  <c r="N191" i="1"/>
  <c r="O191" i="1"/>
  <c r="N654" i="1"/>
  <c r="O654" i="1"/>
  <c r="N219" i="1"/>
  <c r="O219" i="1"/>
  <c r="N859" i="1"/>
  <c r="O859" i="1"/>
  <c r="N272" i="1"/>
  <c r="O272" i="1"/>
  <c r="N688" i="1"/>
  <c r="O688" i="1"/>
  <c r="N273" i="1"/>
  <c r="O273" i="1"/>
  <c r="N641" i="1"/>
  <c r="O641" i="1"/>
  <c r="N478" i="1"/>
  <c r="O478" i="1"/>
  <c r="N118" i="1"/>
  <c r="O118" i="1"/>
  <c r="N390" i="1"/>
  <c r="O390" i="1"/>
  <c r="N822" i="1"/>
  <c r="O822" i="1"/>
  <c r="N8" i="1"/>
  <c r="O8" i="1"/>
  <c r="N872" i="1"/>
  <c r="O872" i="1"/>
  <c r="N972" i="1"/>
  <c r="O972" i="1"/>
  <c r="N801" i="1"/>
  <c r="O801" i="1"/>
  <c r="N453" i="1"/>
  <c r="O453" i="1"/>
  <c r="N296" i="1"/>
  <c r="O296" i="1"/>
  <c r="N920" i="1"/>
  <c r="O920" i="1"/>
  <c r="N249" i="1"/>
  <c r="O249" i="1"/>
  <c r="N639" i="1"/>
  <c r="O639" i="1"/>
  <c r="N608" i="1"/>
  <c r="O608" i="1"/>
  <c r="N420" i="1"/>
  <c r="O420" i="1"/>
  <c r="N246" i="1"/>
  <c r="O246" i="1"/>
  <c r="N838" i="1"/>
  <c r="O838" i="1"/>
  <c r="N988" i="1"/>
  <c r="O988" i="1"/>
</calcChain>
</file>

<file path=xl/sharedStrings.xml><?xml version="1.0" encoding="utf-8"?>
<sst xmlns="http://schemas.openxmlformats.org/spreadsheetml/2006/main" count="5016" uniqueCount="1459">
  <si>
    <t>LoanID</t>
  </si>
  <si>
    <t>CustomerID</t>
  </si>
  <si>
    <t>BranchID</t>
  </si>
  <si>
    <t>ProductID</t>
  </si>
  <si>
    <t>DisbursementDate</t>
  </si>
  <si>
    <t>LoanAmount</t>
  </si>
  <si>
    <t>InterestRate</t>
  </si>
  <si>
    <t>TermMonths</t>
  </si>
  <si>
    <t>LoanStatus</t>
  </si>
  <si>
    <t>OutstandingBalance</t>
  </si>
  <si>
    <t>LN10001</t>
  </si>
  <si>
    <t>C1401</t>
  </si>
  <si>
    <t>B008</t>
  </si>
  <si>
    <t>P04</t>
  </si>
  <si>
    <t>Active</t>
  </si>
  <si>
    <t>LN10002</t>
  </si>
  <si>
    <t>C1066</t>
  </si>
  <si>
    <t>B001</t>
  </si>
  <si>
    <t>P06</t>
  </si>
  <si>
    <t>Paid Off</t>
  </si>
  <si>
    <t>LN10003</t>
  </si>
  <si>
    <t>C1119</t>
  </si>
  <si>
    <t>P03</t>
  </si>
  <si>
    <t>LN10004</t>
  </si>
  <si>
    <t>C1095</t>
  </si>
  <si>
    <t>B006</t>
  </si>
  <si>
    <t>P05</t>
  </si>
  <si>
    <t>Closed</t>
  </si>
  <si>
    <t>LN10005</t>
  </si>
  <si>
    <t>C1153</t>
  </si>
  <si>
    <t>P01</t>
  </si>
  <si>
    <t>LN10006</t>
  </si>
  <si>
    <t>C1310</t>
  </si>
  <si>
    <t>B009</t>
  </si>
  <si>
    <t>LN10007</t>
  </si>
  <si>
    <t>C1108</t>
  </si>
  <si>
    <t>B010</t>
  </si>
  <si>
    <t>LN10008</t>
  </si>
  <si>
    <t>C1243</t>
  </si>
  <si>
    <t>B002</t>
  </si>
  <si>
    <t>LN10009</t>
  </si>
  <si>
    <t>C1004</t>
  </si>
  <si>
    <t>LN10010</t>
  </si>
  <si>
    <t>C1371</t>
  </si>
  <si>
    <t>LN10011</t>
  </si>
  <si>
    <t>LN10012</t>
  </si>
  <si>
    <t>C1403</t>
  </si>
  <si>
    <t>LN10013</t>
  </si>
  <si>
    <t>C1249</t>
  </si>
  <si>
    <t>LN10014</t>
  </si>
  <si>
    <t>C1344</t>
  </si>
  <si>
    <t>B005</t>
  </si>
  <si>
    <t>LN10015</t>
  </si>
  <si>
    <t>C1128</t>
  </si>
  <si>
    <t>B007</t>
  </si>
  <si>
    <t>LN10016</t>
  </si>
  <si>
    <t>LN10017</t>
  </si>
  <si>
    <t>C1346</t>
  </si>
  <si>
    <t>LN10018</t>
  </si>
  <si>
    <t>C1432</t>
  </si>
  <si>
    <t>LN10019</t>
  </si>
  <si>
    <t>C1094</t>
  </si>
  <si>
    <t>LN10020</t>
  </si>
  <si>
    <t>C1169</t>
  </si>
  <si>
    <t>LN10021</t>
  </si>
  <si>
    <t>C1060</t>
  </si>
  <si>
    <t>LN10022</t>
  </si>
  <si>
    <t>C1091</t>
  </si>
  <si>
    <t>LN10023</t>
  </si>
  <si>
    <t>C1408</t>
  </si>
  <si>
    <t>B004</t>
  </si>
  <si>
    <t>LN10024</t>
  </si>
  <si>
    <t>C1286</t>
  </si>
  <si>
    <t>LN10025</t>
  </si>
  <si>
    <t>C1393</t>
  </si>
  <si>
    <t>P02</t>
  </si>
  <si>
    <t>LN10026</t>
  </si>
  <si>
    <t>LN10027</t>
  </si>
  <si>
    <t>C1031</t>
  </si>
  <si>
    <t>LN10028</t>
  </si>
  <si>
    <t>C1440</t>
  </si>
  <si>
    <t>LN10029</t>
  </si>
  <si>
    <t>C1040</t>
  </si>
  <si>
    <t>LN10030</t>
  </si>
  <si>
    <t>C1172</t>
  </si>
  <si>
    <t>LN10031</t>
  </si>
  <si>
    <t>C1215</t>
  </si>
  <si>
    <t>LN10032</t>
  </si>
  <si>
    <t>C1230</t>
  </si>
  <si>
    <t>LN10033</t>
  </si>
  <si>
    <t>C1418</t>
  </si>
  <si>
    <t>LN10034</t>
  </si>
  <si>
    <t>C1147</t>
  </si>
  <si>
    <t>LN10035</t>
  </si>
  <si>
    <t>C1499</t>
  </si>
  <si>
    <t>LN10036</t>
  </si>
  <si>
    <t>C1152</t>
  </si>
  <si>
    <t>LN10037</t>
  </si>
  <si>
    <t>LN10038</t>
  </si>
  <si>
    <t>C1084</t>
  </si>
  <si>
    <t>LN10039</t>
  </si>
  <si>
    <t>C1446</t>
  </si>
  <si>
    <t>LN10040</t>
  </si>
  <si>
    <t>C1300</t>
  </si>
  <si>
    <t>LN10041</t>
  </si>
  <si>
    <t>LN10042</t>
  </si>
  <si>
    <t>LN10043</t>
  </si>
  <si>
    <t>C1232</t>
  </si>
  <si>
    <t>LN10044</t>
  </si>
  <si>
    <t>C1283</t>
  </si>
  <si>
    <t>LN10045</t>
  </si>
  <si>
    <t>LN10046</t>
  </si>
  <si>
    <t>C1185</t>
  </si>
  <si>
    <t>LN10047</t>
  </si>
  <si>
    <t>C1171</t>
  </si>
  <si>
    <t>LN10048</t>
  </si>
  <si>
    <t>C1321</t>
  </si>
  <si>
    <t>LN10049</t>
  </si>
  <si>
    <t>LN10050</t>
  </si>
  <si>
    <t>C1203</t>
  </si>
  <si>
    <t>LN10051</t>
  </si>
  <si>
    <t>LN10052</t>
  </si>
  <si>
    <t>C1047</t>
  </si>
  <si>
    <t>B003</t>
  </si>
  <si>
    <t>LN10053</t>
  </si>
  <si>
    <t>C1148</t>
  </si>
  <si>
    <t>LN10054</t>
  </si>
  <si>
    <t>LN10055</t>
  </si>
  <si>
    <t>C1326</t>
  </si>
  <si>
    <t>LN10056</t>
  </si>
  <si>
    <t>C1080</t>
  </si>
  <si>
    <t>LN10057</t>
  </si>
  <si>
    <t>C1130</t>
  </si>
  <si>
    <t>LN10058</t>
  </si>
  <si>
    <t>C1133</t>
  </si>
  <si>
    <t>LN10059</t>
  </si>
  <si>
    <t>C1298</t>
  </si>
  <si>
    <t>LN10060</t>
  </si>
  <si>
    <t>C1358</t>
  </si>
  <si>
    <t>LN10061</t>
  </si>
  <si>
    <t>C1305</t>
  </si>
  <si>
    <t>LN10062</t>
  </si>
  <si>
    <t>C1124</t>
  </si>
  <si>
    <t>LN10063</t>
  </si>
  <si>
    <t>C1343</t>
  </si>
  <si>
    <t>LN10064</t>
  </si>
  <si>
    <t>C1068</t>
  </si>
  <si>
    <t>LN10065</t>
  </si>
  <si>
    <t>C1364</t>
  </si>
  <si>
    <t>LN10066</t>
  </si>
  <si>
    <t>C1252</t>
  </si>
  <si>
    <t>LN10067</t>
  </si>
  <si>
    <t>C1241</t>
  </si>
  <si>
    <t>LN10068</t>
  </si>
  <si>
    <t>C1349</t>
  </si>
  <si>
    <t>LN10069</t>
  </si>
  <si>
    <t>LN10070</t>
  </si>
  <si>
    <t>C1081</t>
  </si>
  <si>
    <t>LN10071</t>
  </si>
  <si>
    <t>C1221</t>
  </si>
  <si>
    <t>LN10072</t>
  </si>
  <si>
    <t>LN10073</t>
  </si>
  <si>
    <t>C1460</t>
  </si>
  <si>
    <t>LN10074</t>
  </si>
  <si>
    <t>C1033</t>
  </si>
  <si>
    <t>LN10075</t>
  </si>
  <si>
    <t>C1103</t>
  </si>
  <si>
    <t>LN10076</t>
  </si>
  <si>
    <t>C1122</t>
  </si>
  <si>
    <t>LN10077</t>
  </si>
  <si>
    <t>C1015</t>
  </si>
  <si>
    <t>LN10078</t>
  </si>
  <si>
    <t>C1390</t>
  </si>
  <si>
    <t>LN10079</t>
  </si>
  <si>
    <t>C1479</t>
  </si>
  <si>
    <t>LN10080</t>
  </si>
  <si>
    <t>C1007</t>
  </si>
  <si>
    <t>LN10081</t>
  </si>
  <si>
    <t>LN10082</t>
  </si>
  <si>
    <t>C1170</t>
  </si>
  <si>
    <t>LN10083</t>
  </si>
  <si>
    <t>C1182</t>
  </si>
  <si>
    <t>LN10084</t>
  </si>
  <si>
    <t>C1442</t>
  </si>
  <si>
    <t>LN10085</t>
  </si>
  <si>
    <t>C1317</t>
  </si>
  <si>
    <t>LN10086</t>
  </si>
  <si>
    <t>C1472</t>
  </si>
  <si>
    <t>LN10087</t>
  </si>
  <si>
    <t>LN10088</t>
  </si>
  <si>
    <t>C1471</t>
  </si>
  <si>
    <t>LN10089</t>
  </si>
  <si>
    <t>C1138</t>
  </si>
  <si>
    <t>LN10090</t>
  </si>
  <si>
    <t>LN10091</t>
  </si>
  <si>
    <t>C1335</t>
  </si>
  <si>
    <t>LN10092</t>
  </si>
  <si>
    <t>LN10093</t>
  </si>
  <si>
    <t>C1045</t>
  </si>
  <si>
    <t>LN10094</t>
  </si>
  <si>
    <t>C1426</t>
  </si>
  <si>
    <t>LN10095</t>
  </si>
  <si>
    <t>C1334</t>
  </si>
  <si>
    <t>LN10096</t>
  </si>
  <si>
    <t>C1466</t>
  </si>
  <si>
    <t>LN10097</t>
  </si>
  <si>
    <t>C1245</t>
  </si>
  <si>
    <t>LN10098</t>
  </si>
  <si>
    <t>C1368</t>
  </si>
  <si>
    <t>LN10099</t>
  </si>
  <si>
    <t>C1441</t>
  </si>
  <si>
    <t>LN10100</t>
  </si>
  <si>
    <t>C1387</t>
  </si>
  <si>
    <t>LN10101</t>
  </si>
  <si>
    <t>C1020</t>
  </si>
  <si>
    <t>LN10102</t>
  </si>
  <si>
    <t>C1329</t>
  </si>
  <si>
    <t>LN10103</t>
  </si>
  <si>
    <t>C1239</t>
  </si>
  <si>
    <t>LN10104</t>
  </si>
  <si>
    <t>C1143</t>
  </si>
  <si>
    <t>LN10105</t>
  </si>
  <si>
    <t>C1259</t>
  </si>
  <si>
    <t>LN10106</t>
  </si>
  <si>
    <t>C1134</t>
  </si>
  <si>
    <t>LN10107</t>
  </si>
  <si>
    <t>LN10108</t>
  </si>
  <si>
    <t>C1279</t>
  </si>
  <si>
    <t>LN10109</t>
  </si>
  <si>
    <t>C1088</t>
  </si>
  <si>
    <t>LN10110</t>
  </si>
  <si>
    <t>LN10111</t>
  </si>
  <si>
    <t>C1367</t>
  </si>
  <si>
    <t>LN10112</t>
  </si>
  <si>
    <t>LN10113</t>
  </si>
  <si>
    <t>LN10114</t>
  </si>
  <si>
    <t>C1118</t>
  </si>
  <si>
    <t>LN10115</t>
  </si>
  <si>
    <t>C1291</t>
  </si>
  <si>
    <t>LN10116</t>
  </si>
  <si>
    <t>C1424</t>
  </si>
  <si>
    <t>LN10117</t>
  </si>
  <si>
    <t>C1464</t>
  </si>
  <si>
    <t>LN10118</t>
  </si>
  <si>
    <t>C1497</t>
  </si>
  <si>
    <t>LN10119</t>
  </si>
  <si>
    <t>C1356</t>
  </si>
  <si>
    <t>LN10120</t>
  </si>
  <si>
    <t>C1085</t>
  </si>
  <si>
    <t>LN10121</t>
  </si>
  <si>
    <t>LN10122</t>
  </si>
  <si>
    <t>C1381</t>
  </si>
  <si>
    <t>LN10123</t>
  </si>
  <si>
    <t>LN10124</t>
  </si>
  <si>
    <t>C1314</t>
  </si>
  <si>
    <t>LN10125</t>
  </si>
  <si>
    <t>LN10126</t>
  </si>
  <si>
    <t>LN10127</t>
  </si>
  <si>
    <t>C1038</t>
  </si>
  <si>
    <t>LN10128</t>
  </si>
  <si>
    <t>LN10129</t>
  </si>
  <si>
    <t>C1406</t>
  </si>
  <si>
    <t>LN10130</t>
  </si>
  <si>
    <t>C1278</t>
  </si>
  <si>
    <t>LN10131</t>
  </si>
  <si>
    <t>C1173</t>
  </si>
  <si>
    <t>LN10132</t>
  </si>
  <si>
    <t>LN10133</t>
  </si>
  <si>
    <t>LN10134</t>
  </si>
  <si>
    <t>C1495</t>
  </si>
  <si>
    <t>LN10135</t>
  </si>
  <si>
    <t>C1402</t>
  </si>
  <si>
    <t>LN10136</t>
  </si>
  <si>
    <t>C1098</t>
  </si>
  <si>
    <t>LN10137</t>
  </si>
  <si>
    <t>C1102</t>
  </si>
  <si>
    <t>LN10138</t>
  </si>
  <si>
    <t>C1405</t>
  </si>
  <si>
    <t>LN10139</t>
  </si>
  <si>
    <t>LN10140</t>
  </si>
  <si>
    <t>LN10141</t>
  </si>
  <si>
    <t>C1028</t>
  </si>
  <si>
    <t>LN10142</t>
  </si>
  <si>
    <t>C1227</t>
  </si>
  <si>
    <t>LN10143</t>
  </si>
  <si>
    <t>C1229</t>
  </si>
  <si>
    <t>LN10144</t>
  </si>
  <si>
    <t>LN10145</t>
  </si>
  <si>
    <t>C1377</t>
  </si>
  <si>
    <t>LN10146</t>
  </si>
  <si>
    <t>C1218</t>
  </si>
  <si>
    <t>LN10147</t>
  </si>
  <si>
    <t>C1437</t>
  </si>
  <si>
    <t>LN10148</t>
  </si>
  <si>
    <t>C1141</t>
  </si>
  <si>
    <t>LN10149</t>
  </si>
  <si>
    <t>C1409</t>
  </si>
  <si>
    <t>LN10150</t>
  </si>
  <si>
    <t>C1013</t>
  </si>
  <si>
    <t>LN10151</t>
  </si>
  <si>
    <t>C1327</t>
  </si>
  <si>
    <t>LN10152</t>
  </si>
  <si>
    <t>C1258</t>
  </si>
  <si>
    <t>LN10153</t>
  </si>
  <si>
    <t>C1378</t>
  </si>
  <si>
    <t>LN10154</t>
  </si>
  <si>
    <t>C1307</t>
  </si>
  <si>
    <t>LN10155</t>
  </si>
  <si>
    <t>C1044</t>
  </si>
  <si>
    <t>LN10156</t>
  </si>
  <si>
    <t>C1290</t>
  </si>
  <si>
    <t>LN10157</t>
  </si>
  <si>
    <t>LN10158</t>
  </si>
  <si>
    <t>LN10159</t>
  </si>
  <si>
    <t>C1470</t>
  </si>
  <si>
    <t>LN10160</t>
  </si>
  <si>
    <t>C1323</t>
  </si>
  <si>
    <t>LN10161</t>
  </si>
  <si>
    <t>C1337</t>
  </si>
  <si>
    <t>LN10162</t>
  </si>
  <si>
    <t>C1269</t>
  </si>
  <si>
    <t>LN10163</t>
  </si>
  <si>
    <t>C1436</t>
  </si>
  <si>
    <t>LN10164</t>
  </si>
  <si>
    <t>C1365</t>
  </si>
  <si>
    <t>LN10165</t>
  </si>
  <si>
    <t>C1003</t>
  </si>
  <si>
    <t>LN10166</t>
  </si>
  <si>
    <t>C1024</t>
  </si>
  <si>
    <t>LN10167</t>
  </si>
  <si>
    <t>C1131</t>
  </si>
  <si>
    <t>LN10168</t>
  </si>
  <si>
    <t>C1179</t>
  </si>
  <si>
    <t>LN10169</t>
  </si>
  <si>
    <t>LN10170</t>
  </si>
  <si>
    <t>LN10171</t>
  </si>
  <si>
    <t>C1312</t>
  </si>
  <si>
    <t>LN10172</t>
  </si>
  <si>
    <t>C1198</t>
  </si>
  <si>
    <t>LN10173</t>
  </si>
  <si>
    <t>LN10174</t>
  </si>
  <si>
    <t>C1167</t>
  </si>
  <si>
    <t>LN10175</t>
  </si>
  <si>
    <t>C1062</t>
  </si>
  <si>
    <t>LN10176</t>
  </si>
  <si>
    <t>C1201</t>
  </si>
  <si>
    <t>LN10177</t>
  </si>
  <si>
    <t>C1160</t>
  </si>
  <si>
    <t>LN10178</t>
  </si>
  <si>
    <t>C1019</t>
  </si>
  <si>
    <t>LN10179</t>
  </si>
  <si>
    <t>C1407</t>
  </si>
  <si>
    <t>LN10180</t>
  </si>
  <si>
    <t>C1451</t>
  </si>
  <si>
    <t>LN10181</t>
  </si>
  <si>
    <t>LN10182</t>
  </si>
  <si>
    <t>C1228</t>
  </si>
  <si>
    <t>LN10183</t>
  </si>
  <si>
    <t>C1404</t>
  </si>
  <si>
    <t>LN10184</t>
  </si>
  <si>
    <t>C1425</t>
  </si>
  <si>
    <t>LN10185</t>
  </si>
  <si>
    <t>C1293</t>
  </si>
  <si>
    <t>LN10186</t>
  </si>
  <si>
    <t>C1388</t>
  </si>
  <si>
    <t>LN10187</t>
  </si>
  <si>
    <t>C1092</t>
  </si>
  <si>
    <t>LN10188</t>
  </si>
  <si>
    <t>LN10189</t>
  </si>
  <si>
    <t>C1052</t>
  </si>
  <si>
    <t>LN10190</t>
  </si>
  <si>
    <t>C1014</t>
  </si>
  <si>
    <t>LN10191</t>
  </si>
  <si>
    <t>C1034</t>
  </si>
  <si>
    <t>LN10192</t>
  </si>
  <si>
    <t>C1294</t>
  </si>
  <si>
    <t>LN10193</t>
  </si>
  <si>
    <t>C1361</t>
  </si>
  <si>
    <t>LN10194</t>
  </si>
  <si>
    <t>C1063</t>
  </si>
  <si>
    <t>LN10195</t>
  </si>
  <si>
    <t>C1257</t>
  </si>
  <si>
    <t>LN10196</t>
  </si>
  <si>
    <t>C1477</t>
  </si>
  <si>
    <t>LN10197</t>
  </si>
  <si>
    <t>C1231</t>
  </si>
  <si>
    <t>LN10198</t>
  </si>
  <si>
    <t>C1136</t>
  </si>
  <si>
    <t>LN10199</t>
  </si>
  <si>
    <t>C1156</t>
  </si>
  <si>
    <t>LN10200</t>
  </si>
  <si>
    <t>C1048</t>
  </si>
  <si>
    <t>LN10201</t>
  </si>
  <si>
    <t>LN10202</t>
  </si>
  <si>
    <t>C1144</t>
  </si>
  <si>
    <t>LN10203</t>
  </si>
  <si>
    <t>LN10204</t>
  </si>
  <si>
    <t>C1288</t>
  </si>
  <si>
    <t>LN10205</t>
  </si>
  <si>
    <t>C1301</t>
  </si>
  <si>
    <t>LN10206</t>
  </si>
  <si>
    <t>LN10207</t>
  </si>
  <si>
    <t>C1456</t>
  </si>
  <si>
    <t>LN10208</t>
  </si>
  <si>
    <t>C1192</t>
  </si>
  <si>
    <t>LN10209</t>
  </si>
  <si>
    <t>C1005</t>
  </si>
  <si>
    <t>LN10210</t>
  </si>
  <si>
    <t>LN10211</t>
  </si>
  <si>
    <t>C1341</t>
  </si>
  <si>
    <t>LN10212</t>
  </si>
  <si>
    <t>LN10213</t>
  </si>
  <si>
    <t>LN10214</t>
  </si>
  <si>
    <t>LN10215</t>
  </si>
  <si>
    <t>C1132</t>
  </si>
  <si>
    <t>LN10216</t>
  </si>
  <si>
    <t>LN10217</t>
  </si>
  <si>
    <t>C1120</t>
  </si>
  <si>
    <t>LN10218</t>
  </si>
  <si>
    <t>C1438</t>
  </si>
  <si>
    <t>LN10219</t>
  </si>
  <si>
    <t>C1376</t>
  </si>
  <si>
    <t>LN10220</t>
  </si>
  <si>
    <t>LN10221</t>
  </si>
  <si>
    <t>LN10222</t>
  </si>
  <si>
    <t>C1458</t>
  </si>
  <si>
    <t>LN10223</t>
  </si>
  <si>
    <t>LN10224</t>
  </si>
  <si>
    <t>LN10225</t>
  </si>
  <si>
    <t>C1051</t>
  </si>
  <si>
    <t>LN10226</t>
  </si>
  <si>
    <t>LN10227</t>
  </si>
  <si>
    <t>C1486</t>
  </si>
  <si>
    <t>LN10228</t>
  </si>
  <si>
    <t>C1037</t>
  </si>
  <si>
    <t>LN10229</t>
  </si>
  <si>
    <t>C1411</t>
  </si>
  <si>
    <t>LN10230</t>
  </si>
  <si>
    <t>C1385</t>
  </si>
  <si>
    <t>LN10231</t>
  </si>
  <si>
    <t>LN10232</t>
  </si>
  <si>
    <t>C1064</t>
  </si>
  <si>
    <t>LN10233</t>
  </si>
  <si>
    <t>C1101</t>
  </si>
  <si>
    <t>LN10234</t>
  </si>
  <si>
    <t>C1001</t>
  </si>
  <si>
    <t>LN10235</t>
  </si>
  <si>
    <t>C1224</t>
  </si>
  <si>
    <t>LN10236</t>
  </si>
  <si>
    <t>C1234</t>
  </si>
  <si>
    <t>LN10237</t>
  </si>
  <si>
    <t>C1478</t>
  </si>
  <si>
    <t>LN10238</t>
  </si>
  <si>
    <t>C1137</t>
  </si>
  <si>
    <t>LN10239</t>
  </si>
  <si>
    <t>LN10240</t>
  </si>
  <si>
    <t>C1416</t>
  </si>
  <si>
    <t>LN10241</t>
  </si>
  <si>
    <t>C1469</t>
  </si>
  <si>
    <t>LN10242</t>
  </si>
  <si>
    <t>LN10243</t>
  </si>
  <si>
    <t>LN10244</t>
  </si>
  <si>
    <t>LN10245</t>
  </si>
  <si>
    <t>LN10246</t>
  </si>
  <si>
    <t>LN10247</t>
  </si>
  <si>
    <t>C1026</t>
  </si>
  <si>
    <t>LN10248</t>
  </si>
  <si>
    <t>LN10249</t>
  </si>
  <si>
    <t>LN10250</t>
  </si>
  <si>
    <t>C1271</t>
  </si>
  <si>
    <t>LN10251</t>
  </si>
  <si>
    <t>LN10252</t>
  </si>
  <si>
    <t>C1253</t>
  </si>
  <si>
    <t>LN10253</t>
  </si>
  <si>
    <t>C1414</t>
  </si>
  <si>
    <t>LN10254</t>
  </si>
  <si>
    <t>C1311</t>
  </si>
  <si>
    <t>LN10255</t>
  </si>
  <si>
    <t>C1186</t>
  </si>
  <si>
    <t>LN10256</t>
  </si>
  <si>
    <t>C1360</t>
  </si>
  <si>
    <t>LN10257</t>
  </si>
  <si>
    <t>LN10258</t>
  </si>
  <si>
    <t>LN10259</t>
  </si>
  <si>
    <t>LN10260</t>
  </si>
  <si>
    <t>LN10261</t>
  </si>
  <si>
    <t>LN10262</t>
  </si>
  <si>
    <t>LN10263</t>
  </si>
  <si>
    <t>LN10264</t>
  </si>
  <si>
    <t>C1072</t>
  </si>
  <si>
    <t>LN10265</t>
  </si>
  <si>
    <t>C1053</t>
  </si>
  <si>
    <t>LN10266</t>
  </si>
  <si>
    <t>LN10267</t>
  </si>
  <si>
    <t>C1112</t>
  </si>
  <si>
    <t>LN10268</t>
  </si>
  <si>
    <t>LN10269</t>
  </si>
  <si>
    <t>LN10270</t>
  </si>
  <si>
    <t>LN10271</t>
  </si>
  <si>
    <t>C1375</t>
  </si>
  <si>
    <t>LN10272</t>
  </si>
  <si>
    <t>C1220</t>
  </si>
  <si>
    <t>LN10273</t>
  </si>
  <si>
    <t>LN10274</t>
  </si>
  <si>
    <t>C1306</t>
  </si>
  <si>
    <t>LN10275</t>
  </si>
  <si>
    <t>C1195</t>
  </si>
  <si>
    <t>LN10276</t>
  </si>
  <si>
    <t>C1292</t>
  </si>
  <si>
    <t>LN10277</t>
  </si>
  <si>
    <t>C1246</t>
  </si>
  <si>
    <t>LN10278</t>
  </si>
  <si>
    <t>LN10279</t>
  </si>
  <si>
    <t>LN10280</t>
  </si>
  <si>
    <t>LN10281</t>
  </si>
  <si>
    <t>C1449</t>
  </si>
  <si>
    <t>LN10282</t>
  </si>
  <si>
    <t>C1476</t>
  </si>
  <si>
    <t>LN10283</t>
  </si>
  <si>
    <t>LN10284</t>
  </si>
  <si>
    <t>C1199</t>
  </si>
  <si>
    <t>LN10285</t>
  </si>
  <si>
    <t>LN10286</t>
  </si>
  <si>
    <t>C1263</t>
  </si>
  <si>
    <t>LN10287</t>
  </si>
  <si>
    <t>LN10288</t>
  </si>
  <si>
    <t>C1324</t>
  </si>
  <si>
    <t>LN10289</t>
  </si>
  <si>
    <t>LN10290</t>
  </si>
  <si>
    <t>C1067</t>
  </si>
  <si>
    <t>LN10291</t>
  </si>
  <si>
    <t>C1244</t>
  </si>
  <si>
    <t>LN10292</t>
  </si>
  <si>
    <t>C1023</t>
  </si>
  <si>
    <t>LN10293</t>
  </si>
  <si>
    <t>C1036</t>
  </si>
  <si>
    <t>LN10294</t>
  </si>
  <si>
    <t>LN10295</t>
  </si>
  <si>
    <t>LN10296</t>
  </si>
  <si>
    <t>LN10297</t>
  </si>
  <si>
    <t>C1039</t>
  </si>
  <si>
    <t>LN10298</t>
  </si>
  <si>
    <t>LN10299</t>
  </si>
  <si>
    <t>LN10300</t>
  </si>
  <si>
    <t>LN10301</t>
  </si>
  <si>
    <t>LN10302</t>
  </si>
  <si>
    <t>C1328</t>
  </si>
  <si>
    <t>LN10303</t>
  </si>
  <si>
    <t>LN10304</t>
  </si>
  <si>
    <t>C1032</t>
  </si>
  <si>
    <t>LN10305</t>
  </si>
  <si>
    <t>C1029</t>
  </si>
  <si>
    <t>LN10306</t>
  </si>
  <si>
    <t>LN10307</t>
  </si>
  <si>
    <t>C1208</t>
  </si>
  <si>
    <t>LN10308</t>
  </si>
  <si>
    <t>C1419</t>
  </si>
  <si>
    <t>LN10309</t>
  </si>
  <si>
    <t>LN10310</t>
  </si>
  <si>
    <t>C1345</t>
  </si>
  <si>
    <t>LN10311</t>
  </si>
  <si>
    <t>C1193</t>
  </si>
  <si>
    <t>LN10312</t>
  </si>
  <si>
    <t>C1273</t>
  </si>
  <si>
    <t>LN10313</t>
  </si>
  <si>
    <t>LN10314</t>
  </si>
  <si>
    <t>C1027</t>
  </si>
  <si>
    <t>LN10315</t>
  </si>
  <si>
    <t>LN10316</t>
  </si>
  <si>
    <t>C1183</t>
  </si>
  <si>
    <t>LN10317</t>
  </si>
  <si>
    <t>LN10318</t>
  </si>
  <si>
    <t>C1492</t>
  </si>
  <si>
    <t>LN10319</t>
  </si>
  <si>
    <t>C1214</t>
  </si>
  <si>
    <t>LN10320</t>
  </si>
  <si>
    <t>C1104</t>
  </si>
  <si>
    <t>LN10321</t>
  </si>
  <si>
    <t>C1347</t>
  </si>
  <si>
    <t>LN10322</t>
  </si>
  <si>
    <t>LN10323</t>
  </si>
  <si>
    <t>C1046</t>
  </si>
  <si>
    <t>LN10324</t>
  </si>
  <si>
    <t>LN10325</t>
  </si>
  <si>
    <t>C1465</t>
  </si>
  <si>
    <t>LN10326</t>
  </si>
  <si>
    <t>C1086</t>
  </si>
  <si>
    <t>LN10327</t>
  </si>
  <si>
    <t>LN10328</t>
  </si>
  <si>
    <t>LN10329</t>
  </si>
  <si>
    <t>LN10330</t>
  </si>
  <si>
    <t>C1264</t>
  </si>
  <si>
    <t>LN10331</t>
  </si>
  <si>
    <t>LN10332</t>
  </si>
  <si>
    <t>LN10333</t>
  </si>
  <si>
    <t>LN10334</t>
  </si>
  <si>
    <t>C1268</t>
  </si>
  <si>
    <t>LN10335</t>
  </si>
  <si>
    <t>C1155</t>
  </si>
  <si>
    <t>LN10336</t>
  </si>
  <si>
    <t>LN10337</t>
  </si>
  <si>
    <t>C1009</t>
  </si>
  <si>
    <t>LN10338</t>
  </si>
  <si>
    <t>LN10339</t>
  </si>
  <si>
    <t>C1150</t>
  </si>
  <si>
    <t>LN10340</t>
  </si>
  <si>
    <t>C1270</t>
  </si>
  <si>
    <t>LN10341</t>
  </si>
  <si>
    <t>C1295</t>
  </si>
  <si>
    <t>LN10342</t>
  </si>
  <si>
    <t>LN10343</t>
  </si>
  <si>
    <t>LN10344</t>
  </si>
  <si>
    <t>C1177</t>
  </si>
  <si>
    <t>LN10345</t>
  </si>
  <si>
    <t>LN10346</t>
  </si>
  <si>
    <t>C1049</t>
  </si>
  <si>
    <t>LN10347</t>
  </si>
  <si>
    <t>LN10348</t>
  </si>
  <si>
    <t>C1065</t>
  </si>
  <si>
    <t>LN10349</t>
  </si>
  <si>
    <t>C1002</t>
  </si>
  <si>
    <t>LN10350</t>
  </si>
  <si>
    <t>C1447</t>
  </si>
  <si>
    <t>LN10351</t>
  </si>
  <si>
    <t>C1382</t>
  </si>
  <si>
    <t>LN10352</t>
  </si>
  <si>
    <t>C1281</t>
  </si>
  <si>
    <t>LN10353</t>
  </si>
  <si>
    <t>C1355</t>
  </si>
  <si>
    <t>LN10354</t>
  </si>
  <si>
    <t>LN10355</t>
  </si>
  <si>
    <t>C1420</t>
  </si>
  <si>
    <t>LN10356</t>
  </si>
  <si>
    <t>C1248</t>
  </si>
  <si>
    <t>LN10357</t>
  </si>
  <si>
    <t>LN10358</t>
  </si>
  <si>
    <t>LN10359</t>
  </si>
  <si>
    <t>LN10360</t>
  </si>
  <si>
    <t>C1320</t>
  </si>
  <si>
    <t>LN10361</t>
  </si>
  <si>
    <t>C1016</t>
  </si>
  <si>
    <t>LN10362</t>
  </si>
  <si>
    <t>LN10363</t>
  </si>
  <si>
    <t>C1194</t>
  </si>
  <si>
    <t>LN10364</t>
  </si>
  <si>
    <t>LN10365</t>
  </si>
  <si>
    <t>C1338</t>
  </si>
  <si>
    <t>LN10366</t>
  </si>
  <si>
    <t>C1110</t>
  </si>
  <si>
    <t>LN10367</t>
  </si>
  <si>
    <t>C1018</t>
  </si>
  <si>
    <t>LN10368</t>
  </si>
  <si>
    <t>C1087</t>
  </si>
  <si>
    <t>LN10369</t>
  </si>
  <si>
    <t>LN10370</t>
  </si>
  <si>
    <t>LN10371</t>
  </si>
  <si>
    <t>LN10372</t>
  </si>
  <si>
    <t>C1121</t>
  </si>
  <si>
    <t>LN10373</t>
  </si>
  <si>
    <t>C1097</t>
  </si>
  <si>
    <t>LN10374</t>
  </si>
  <si>
    <t>C1421</t>
  </si>
  <si>
    <t>LN10375</t>
  </si>
  <si>
    <t>LN10376</t>
  </si>
  <si>
    <t>LN10377</t>
  </si>
  <si>
    <t>LN10378</t>
  </si>
  <si>
    <t>LN10379</t>
  </si>
  <si>
    <t>C1489</t>
  </si>
  <si>
    <t>LN10380</t>
  </si>
  <si>
    <t>C1373</t>
  </si>
  <si>
    <t>LN10381</t>
  </si>
  <si>
    <t>LN10382</t>
  </si>
  <si>
    <t>LN10383</t>
  </si>
  <si>
    <t>LN10384</t>
  </si>
  <si>
    <t>LN10385</t>
  </si>
  <si>
    <t>LN10386</t>
  </si>
  <si>
    <t>C1176</t>
  </si>
  <si>
    <t>LN10387</t>
  </si>
  <si>
    <t>LN10388</t>
  </si>
  <si>
    <t>LN10389</t>
  </si>
  <si>
    <t>C1012</t>
  </si>
  <si>
    <t>LN10390</t>
  </si>
  <si>
    <t>LN10391</t>
  </si>
  <si>
    <t>C1427</t>
  </si>
  <si>
    <t>LN10392</t>
  </si>
  <si>
    <t>LN10393</t>
  </si>
  <si>
    <t>LN10394</t>
  </si>
  <si>
    <t>C1190</t>
  </si>
  <si>
    <t>LN10395</t>
  </si>
  <si>
    <t>C1322</t>
  </si>
  <si>
    <t>LN10396</t>
  </si>
  <si>
    <t>C1262</t>
  </si>
  <si>
    <t>LN10397</t>
  </si>
  <si>
    <t>LN10398</t>
  </si>
  <si>
    <t>LN10399</t>
  </si>
  <si>
    <t>LN10400</t>
  </si>
  <si>
    <t>LN10401</t>
  </si>
  <si>
    <t>LN10402</t>
  </si>
  <si>
    <t>LN10403</t>
  </si>
  <si>
    <t>LN10404</t>
  </si>
  <si>
    <t>LN10405</t>
  </si>
  <si>
    <t>LN10406</t>
  </si>
  <si>
    <t>C1200</t>
  </si>
  <si>
    <t>LN10407</t>
  </si>
  <si>
    <t>C1398</t>
  </si>
  <si>
    <t>LN10408</t>
  </si>
  <si>
    <t>LN10409</t>
  </si>
  <si>
    <t>LN10410</t>
  </si>
  <si>
    <t>LN10411</t>
  </si>
  <si>
    <t>LN10412</t>
  </si>
  <si>
    <t>LN10413</t>
  </si>
  <si>
    <t>C1042</t>
  </si>
  <si>
    <t>LN10414</t>
  </si>
  <si>
    <t>C1352</t>
  </si>
  <si>
    <t>LN10415</t>
  </si>
  <si>
    <t>C1181</t>
  </si>
  <si>
    <t>LN10416</t>
  </si>
  <si>
    <t>C1468</t>
  </si>
  <si>
    <t>LN10417</t>
  </si>
  <si>
    <t>LN10418</t>
  </si>
  <si>
    <t>LN10419</t>
  </si>
  <si>
    <t>C1455</t>
  </si>
  <si>
    <t>LN10420</t>
  </si>
  <si>
    <t>C1099</t>
  </si>
  <si>
    <t>LN10421</t>
  </si>
  <si>
    <t>LN10422</t>
  </si>
  <si>
    <t>C1266</t>
  </si>
  <si>
    <t>LN10423</t>
  </si>
  <si>
    <t>C1256</t>
  </si>
  <si>
    <t>LN10424</t>
  </si>
  <si>
    <t>C1184</t>
  </si>
  <si>
    <t>LN10425</t>
  </si>
  <si>
    <t>C1434</t>
  </si>
  <si>
    <t>LN10426</t>
  </si>
  <si>
    <t>C1202</t>
  </si>
  <si>
    <t>LN10427</t>
  </si>
  <si>
    <t>LN10428</t>
  </si>
  <si>
    <t>LN10429</t>
  </si>
  <si>
    <t>LN10430</t>
  </si>
  <si>
    <t>C1369</t>
  </si>
  <si>
    <t>LN10431</t>
  </si>
  <si>
    <t>LN10432</t>
  </si>
  <si>
    <t>LN10433</t>
  </si>
  <si>
    <t>LN10434</t>
  </si>
  <si>
    <t>LN10435</t>
  </si>
  <si>
    <t>C1142</t>
  </si>
  <si>
    <t>LN10436</t>
  </si>
  <si>
    <t>C1225</t>
  </si>
  <si>
    <t>LN10437</t>
  </si>
  <si>
    <t>LN10438</t>
  </si>
  <si>
    <t>C1481</t>
  </si>
  <si>
    <t>LN10439</t>
  </si>
  <si>
    <t>C1359</t>
  </si>
  <si>
    <t>LN10440</t>
  </si>
  <si>
    <t>LN10441</t>
  </si>
  <si>
    <t>C1280</t>
  </si>
  <si>
    <t>LN10442</t>
  </si>
  <si>
    <t>C1484</t>
  </si>
  <si>
    <t>LN10443</t>
  </si>
  <si>
    <t>LN10444</t>
  </si>
  <si>
    <t>LN10445</t>
  </si>
  <si>
    <t>C1394</t>
  </si>
  <si>
    <t>LN10446</t>
  </si>
  <si>
    <t>LN10447</t>
  </si>
  <si>
    <t>LN10448</t>
  </si>
  <si>
    <t>LN10449</t>
  </si>
  <si>
    <t>LN10450</t>
  </si>
  <si>
    <t>LN10451</t>
  </si>
  <si>
    <t>C1113</t>
  </si>
  <si>
    <t>LN10452</t>
  </si>
  <si>
    <t>C1025</t>
  </si>
  <si>
    <t>LN10453</t>
  </si>
  <si>
    <t>C1395</t>
  </si>
  <si>
    <t>LN10454</t>
  </si>
  <si>
    <t>LN10455</t>
  </si>
  <si>
    <t>LN10456</t>
  </si>
  <si>
    <t>LN10457</t>
  </si>
  <si>
    <t>C1400</t>
  </si>
  <si>
    <t>LN10458</t>
  </si>
  <si>
    <t>LN10459</t>
  </si>
  <si>
    <t>LN10460</t>
  </si>
  <si>
    <t>LN10461</t>
  </si>
  <si>
    <t>LN10462</t>
  </si>
  <si>
    <t>LN10463</t>
  </si>
  <si>
    <t>LN10464</t>
  </si>
  <si>
    <t>C1285</t>
  </si>
  <si>
    <t>LN10465</t>
  </si>
  <si>
    <t>LN10466</t>
  </si>
  <si>
    <t>C1006</t>
  </si>
  <si>
    <t>LN10467</t>
  </si>
  <si>
    <t>LN10468</t>
  </si>
  <si>
    <t>LN10469</t>
  </si>
  <si>
    <t>LN10470</t>
  </si>
  <si>
    <t>LN10471</t>
  </si>
  <si>
    <t>C1282</t>
  </si>
  <si>
    <t>LN10472</t>
  </si>
  <si>
    <t>LN10473</t>
  </si>
  <si>
    <t>LN10474</t>
  </si>
  <si>
    <t>LN10475</t>
  </si>
  <si>
    <t>C1209</t>
  </si>
  <si>
    <t>LN10476</t>
  </si>
  <si>
    <t>LN10477</t>
  </si>
  <si>
    <t>LN10478</t>
  </si>
  <si>
    <t>LN10479</t>
  </si>
  <si>
    <t>LN10480</t>
  </si>
  <si>
    <t>C1340</t>
  </si>
  <si>
    <t>LN10481</t>
  </si>
  <si>
    <t>LN10482</t>
  </si>
  <si>
    <t>C1265</t>
  </si>
  <si>
    <t>LN10483</t>
  </si>
  <si>
    <t>LN10484</t>
  </si>
  <si>
    <t>C1389</t>
  </si>
  <si>
    <t>LN10485</t>
  </si>
  <si>
    <t>LN10486</t>
  </si>
  <si>
    <t>LN10487</t>
  </si>
  <si>
    <t>LN10488</t>
  </si>
  <si>
    <t>C1443</t>
  </si>
  <si>
    <t>LN10489</t>
  </si>
  <si>
    <t>C1240</t>
  </si>
  <si>
    <t>LN10490</t>
  </si>
  <si>
    <t>LN10491</t>
  </si>
  <si>
    <t>LN10492</t>
  </si>
  <si>
    <t>LN10493</t>
  </si>
  <si>
    <t>LN10494</t>
  </si>
  <si>
    <t>C1396</t>
  </si>
  <si>
    <t>LN10495</t>
  </si>
  <si>
    <t>C1069</t>
  </si>
  <si>
    <t>LN10496</t>
  </si>
  <si>
    <t>LN10497</t>
  </si>
  <si>
    <t>C1433</t>
  </si>
  <si>
    <t>LN10498</t>
  </si>
  <si>
    <t>LN10499</t>
  </si>
  <si>
    <t>LN10500</t>
  </si>
  <si>
    <t>LN10501</t>
  </si>
  <si>
    <t>C1370</t>
  </si>
  <si>
    <t>LN10502</t>
  </si>
  <si>
    <t>LN10503</t>
  </si>
  <si>
    <t>C1380</t>
  </si>
  <si>
    <t>LN10504</t>
  </si>
  <si>
    <t>C1054</t>
  </si>
  <si>
    <t>LN10505</t>
  </si>
  <si>
    <t>LN10506</t>
  </si>
  <si>
    <t>C1415</t>
  </si>
  <si>
    <t>LN10507</t>
  </si>
  <si>
    <t>C1391</t>
  </si>
  <si>
    <t>LN10508</t>
  </si>
  <si>
    <t>LN10509</t>
  </si>
  <si>
    <t>LN10510</t>
  </si>
  <si>
    <t>LN10511</t>
  </si>
  <si>
    <t>LN10512</t>
  </si>
  <si>
    <t>LN10513</t>
  </si>
  <si>
    <t>LN10514</t>
  </si>
  <si>
    <t>LN10515</t>
  </si>
  <si>
    <t>C1428</t>
  </si>
  <si>
    <t>LN10516</t>
  </si>
  <si>
    <t>LN10517</t>
  </si>
  <si>
    <t>LN10518</t>
  </si>
  <si>
    <t>C1090</t>
  </si>
  <si>
    <t>LN10519</t>
  </si>
  <si>
    <t>C1021</t>
  </si>
  <si>
    <t>LN10520</t>
  </si>
  <si>
    <t>LN10521</t>
  </si>
  <si>
    <t>LN10522</t>
  </si>
  <si>
    <t>LN10523</t>
  </si>
  <si>
    <t>C1485</t>
  </si>
  <si>
    <t>LN10524</t>
  </si>
  <si>
    <t>LN10525</t>
  </si>
  <si>
    <t>LN10526</t>
  </si>
  <si>
    <t>LN10527</t>
  </si>
  <si>
    <t>LN10528</t>
  </si>
  <si>
    <t>LN10529</t>
  </si>
  <si>
    <t>C1274</t>
  </si>
  <si>
    <t>LN10530</t>
  </si>
  <si>
    <t>LN10531</t>
  </si>
  <si>
    <t>C1129</t>
  </si>
  <si>
    <t>LN10532</t>
  </si>
  <si>
    <t>LN10533</t>
  </si>
  <si>
    <t>C1058</t>
  </si>
  <si>
    <t>LN10534</t>
  </si>
  <si>
    <t>LN10535</t>
  </si>
  <si>
    <t>C1140</t>
  </si>
  <si>
    <t>LN10536</t>
  </si>
  <si>
    <t>LN10537</t>
  </si>
  <si>
    <t>LN10538</t>
  </si>
  <si>
    <t>LN10539</t>
  </si>
  <si>
    <t>LN10540</t>
  </si>
  <si>
    <t>C1223</t>
  </si>
  <si>
    <t>LN10541</t>
  </si>
  <si>
    <t>C1333</t>
  </si>
  <si>
    <t>LN10542</t>
  </si>
  <si>
    <t>LN10543</t>
  </si>
  <si>
    <t>C1482</t>
  </si>
  <si>
    <t>LN10544</t>
  </si>
  <si>
    <t>C1191</t>
  </si>
  <si>
    <t>LN10545</t>
  </si>
  <si>
    <t>C1059</t>
  </si>
  <si>
    <t>LN10546</t>
  </si>
  <si>
    <t>LN10547</t>
  </si>
  <si>
    <t>LN10548</t>
  </si>
  <si>
    <t>LN10549</t>
  </si>
  <si>
    <t>C1325</t>
  </si>
  <si>
    <t>LN10550</t>
  </si>
  <si>
    <t>C1093</t>
  </si>
  <si>
    <t>LN10551</t>
  </si>
  <si>
    <t>LN10552</t>
  </si>
  <si>
    <t>C1461</t>
  </si>
  <si>
    <t>LN10553</t>
  </si>
  <si>
    <t>C1073</t>
  </si>
  <si>
    <t>LN10554</t>
  </si>
  <si>
    <t>LN10555</t>
  </si>
  <si>
    <t>LN10556</t>
  </si>
  <si>
    <t>LN10557</t>
  </si>
  <si>
    <t>LN10558</t>
  </si>
  <si>
    <t>LN10559</t>
  </si>
  <si>
    <t>LN10560</t>
  </si>
  <si>
    <t>LN10561</t>
  </si>
  <si>
    <t>LN10562</t>
  </si>
  <si>
    <t>LN10563</t>
  </si>
  <si>
    <t>LN10564</t>
  </si>
  <si>
    <t>LN10565</t>
  </si>
  <si>
    <t>LN10566</t>
  </si>
  <si>
    <t>LN10567</t>
  </si>
  <si>
    <t>LN10568</t>
  </si>
  <si>
    <t>LN10569</t>
  </si>
  <si>
    <t>C1422</t>
  </si>
  <si>
    <t>LN10570</t>
  </si>
  <si>
    <t>C1384</t>
  </si>
  <si>
    <t>LN10571</t>
  </si>
  <si>
    <t>C1164</t>
  </si>
  <si>
    <t>LN10572</t>
  </si>
  <si>
    <t>LN10573</t>
  </si>
  <si>
    <t>C1467</t>
  </si>
  <si>
    <t>LN10574</t>
  </si>
  <si>
    <t>LN10575</t>
  </si>
  <si>
    <t>C1165</t>
  </si>
  <si>
    <t>LN10576</t>
  </si>
  <si>
    <t>C1423</t>
  </si>
  <si>
    <t>LN10577</t>
  </si>
  <si>
    <t>LN10578</t>
  </si>
  <si>
    <t>C1022</t>
  </si>
  <si>
    <t>LN10579</t>
  </si>
  <si>
    <t>C1331</t>
  </si>
  <si>
    <t>LN10580</t>
  </si>
  <si>
    <t>LN10581</t>
  </si>
  <si>
    <t>LN10582</t>
  </si>
  <si>
    <t>C1304</t>
  </si>
  <si>
    <t>LN10583</t>
  </si>
  <si>
    <t>LN10584</t>
  </si>
  <si>
    <t>C1206</t>
  </si>
  <si>
    <t>LN10585</t>
  </si>
  <si>
    <t>C1210</t>
  </si>
  <si>
    <t>LN10586</t>
  </si>
  <si>
    <t>LN10587</t>
  </si>
  <si>
    <t>LN10588</t>
  </si>
  <si>
    <t>LN10589</t>
  </si>
  <si>
    <t>C1166</t>
  </si>
  <si>
    <t>LN10590</t>
  </si>
  <si>
    <t>LN10591</t>
  </si>
  <si>
    <t>LN10592</t>
  </si>
  <si>
    <t>C1187</t>
  </si>
  <si>
    <t>LN10593</t>
  </si>
  <si>
    <t>LN10594</t>
  </si>
  <si>
    <t>C1236</t>
  </si>
  <si>
    <t>LN10595</t>
  </si>
  <si>
    <t>LN10596</t>
  </si>
  <si>
    <t>LN10597</t>
  </si>
  <si>
    <t>C1250</t>
  </si>
  <si>
    <t>LN10598</t>
  </si>
  <si>
    <t>C1219</t>
  </si>
  <si>
    <t>LN10599</t>
  </si>
  <si>
    <t>LN10600</t>
  </si>
  <si>
    <t>C1354</t>
  </si>
  <si>
    <t>LN10601</t>
  </si>
  <si>
    <t>LN10602</t>
  </si>
  <si>
    <t>LN10603</t>
  </si>
  <si>
    <t>LN10604</t>
  </si>
  <si>
    <t>LN10605</t>
  </si>
  <si>
    <t>C1284</t>
  </si>
  <si>
    <t>LN10606</t>
  </si>
  <si>
    <t>C1126</t>
  </si>
  <si>
    <t>LN10607</t>
  </si>
  <si>
    <t>LN10608</t>
  </si>
  <si>
    <t>LN10609</t>
  </si>
  <si>
    <t>C1204</t>
  </si>
  <si>
    <t>LN10610</t>
  </si>
  <si>
    <t>LN10611</t>
  </si>
  <si>
    <t>LN10612</t>
  </si>
  <si>
    <t>LN10613</t>
  </si>
  <si>
    <t>LN10614</t>
  </si>
  <si>
    <t>LN10615</t>
  </si>
  <si>
    <t>LN10616</t>
  </si>
  <si>
    <t>LN10617</t>
  </si>
  <si>
    <t>C1383</t>
  </si>
  <si>
    <t>LN10618</t>
  </si>
  <si>
    <t>C1050</t>
  </si>
  <si>
    <t>LN10619</t>
  </si>
  <si>
    <t>LN10620</t>
  </si>
  <si>
    <t>LN10621</t>
  </si>
  <si>
    <t>LN10622</t>
  </si>
  <si>
    <t>C1500</t>
  </si>
  <si>
    <t>LN10623</t>
  </si>
  <si>
    <t>LN10624</t>
  </si>
  <si>
    <t>LN10625</t>
  </si>
  <si>
    <t>LN10626</t>
  </si>
  <si>
    <t>LN10627</t>
  </si>
  <si>
    <t>LN10628</t>
  </si>
  <si>
    <t>C1146</t>
  </si>
  <si>
    <t>LN10629</t>
  </si>
  <si>
    <t>LN10630</t>
  </si>
  <si>
    <t>C1100</t>
  </si>
  <si>
    <t>LN10631</t>
  </si>
  <si>
    <t>LN10632</t>
  </si>
  <si>
    <t>LN10633</t>
  </si>
  <si>
    <t>LN10634</t>
  </si>
  <si>
    <t>LN10635</t>
  </si>
  <si>
    <t>LN10636</t>
  </si>
  <si>
    <t>C1212</t>
  </si>
  <si>
    <t>LN10637</t>
  </si>
  <si>
    <t>LN10638</t>
  </si>
  <si>
    <t>LN10639</t>
  </si>
  <si>
    <t>C1197</t>
  </si>
  <si>
    <t>LN10640</t>
  </si>
  <si>
    <t>C1175</t>
  </si>
  <si>
    <t>LN10641</t>
  </si>
  <si>
    <t>C1315</t>
  </si>
  <si>
    <t>LN10642</t>
  </si>
  <si>
    <t>LN10643</t>
  </si>
  <si>
    <t>LN10644</t>
  </si>
  <si>
    <t>LN10645</t>
  </si>
  <si>
    <t>LN10646</t>
  </si>
  <si>
    <t>LN10647</t>
  </si>
  <si>
    <t>LN10648</t>
  </si>
  <si>
    <t>LN10649</t>
  </si>
  <si>
    <t>LN10650</t>
  </si>
  <si>
    <t>LN10651</t>
  </si>
  <si>
    <t>LN10652</t>
  </si>
  <si>
    <t>LN10653</t>
  </si>
  <si>
    <t>LN10654</t>
  </si>
  <si>
    <t>LN10655</t>
  </si>
  <si>
    <t>LN10656</t>
  </si>
  <si>
    <t>C1276</t>
  </si>
  <si>
    <t>LN10657</t>
  </si>
  <si>
    <t>C1493</t>
  </si>
  <si>
    <t>LN10658</t>
  </si>
  <si>
    <t>LN10659</t>
  </si>
  <si>
    <t>C1302</t>
  </si>
  <si>
    <t>LN10660</t>
  </si>
  <si>
    <t>LN10661</t>
  </si>
  <si>
    <t>LN10662</t>
  </si>
  <si>
    <t>LN10663</t>
  </si>
  <si>
    <t>LN10664</t>
  </si>
  <si>
    <t>LN10665</t>
  </si>
  <si>
    <t>LN10666</t>
  </si>
  <si>
    <t>LN10667</t>
  </si>
  <si>
    <t>LN10668</t>
  </si>
  <si>
    <t>LN10669</t>
  </si>
  <si>
    <t>LN10670</t>
  </si>
  <si>
    <t>LN10671</t>
  </si>
  <si>
    <t>LN10672</t>
  </si>
  <si>
    <t>LN10673</t>
  </si>
  <si>
    <t>LN10674</t>
  </si>
  <si>
    <t>LN10675</t>
  </si>
  <si>
    <t>LN10676</t>
  </si>
  <si>
    <t>LN10677</t>
  </si>
  <si>
    <t>LN10678</t>
  </si>
  <si>
    <t>C1159</t>
  </si>
  <si>
    <t>LN10679</t>
  </si>
  <si>
    <t>C1332</t>
  </si>
  <si>
    <t>LN10680</t>
  </si>
  <si>
    <t>LN10681</t>
  </si>
  <si>
    <t>LN10682</t>
  </si>
  <si>
    <t>C1372</t>
  </si>
  <si>
    <t>LN10683</t>
  </si>
  <si>
    <t>LN10684</t>
  </si>
  <si>
    <t>C1217</t>
  </si>
  <si>
    <t>LN10685</t>
  </si>
  <si>
    <t>LN10686</t>
  </si>
  <si>
    <t>LN10687</t>
  </si>
  <si>
    <t>C1353</t>
  </si>
  <si>
    <t>LN10688</t>
  </si>
  <si>
    <t>LN10689</t>
  </si>
  <si>
    <t>LN10690</t>
  </si>
  <si>
    <t>C1125</t>
  </si>
  <si>
    <t>LN10691</t>
  </si>
  <si>
    <t>LN10692</t>
  </si>
  <si>
    <t>LN10693</t>
  </si>
  <si>
    <t>LN10694</t>
  </si>
  <si>
    <t>C1453</t>
  </si>
  <si>
    <t>LN10695</t>
  </si>
  <si>
    <t>LN10696</t>
  </si>
  <si>
    <t>C1055</t>
  </si>
  <si>
    <t>LN10697</t>
  </si>
  <si>
    <t>C1410</t>
  </si>
  <si>
    <t>LN10698</t>
  </si>
  <si>
    <t>LN10699</t>
  </si>
  <si>
    <t>C1488</t>
  </si>
  <si>
    <t>LN10700</t>
  </si>
  <si>
    <t>LN10701</t>
  </si>
  <si>
    <t>LN10702</t>
  </si>
  <si>
    <t>LN10703</t>
  </si>
  <si>
    <t>LN10704</t>
  </si>
  <si>
    <t>C1089</t>
  </si>
  <si>
    <t>LN10705</t>
  </si>
  <si>
    <t>LN10706</t>
  </si>
  <si>
    <t>LN10707</t>
  </si>
  <si>
    <t>LN10708</t>
  </si>
  <si>
    <t>LN10709</t>
  </si>
  <si>
    <t>LN10710</t>
  </si>
  <si>
    <t>C1205</t>
  </si>
  <si>
    <t>LN10711</t>
  </si>
  <si>
    <t>C1363</t>
  </si>
  <si>
    <t>LN10712</t>
  </si>
  <si>
    <t>LN10713</t>
  </si>
  <si>
    <t>LN10714</t>
  </si>
  <si>
    <t>LN10715</t>
  </si>
  <si>
    <t>LN10716</t>
  </si>
  <si>
    <t>LN10717</t>
  </si>
  <si>
    <t>C1117</t>
  </si>
  <si>
    <t>LN10718</t>
  </si>
  <si>
    <t>LN10719</t>
  </si>
  <si>
    <t>LN10720</t>
  </si>
  <si>
    <t>LN10721</t>
  </si>
  <si>
    <t>LN10722</t>
  </si>
  <si>
    <t>LN10723</t>
  </si>
  <si>
    <t>LN10724</t>
  </si>
  <si>
    <t>LN10725</t>
  </si>
  <si>
    <t>LN10726</t>
  </si>
  <si>
    <t>LN10727</t>
  </si>
  <si>
    <t>LN10728</t>
  </si>
  <si>
    <t>LN10729</t>
  </si>
  <si>
    <t>LN10730</t>
  </si>
  <si>
    <t>LN10731</t>
  </si>
  <si>
    <t>LN10732</t>
  </si>
  <si>
    <t>C1475</t>
  </si>
  <si>
    <t>LN10733</t>
  </si>
  <si>
    <t>LN10734</t>
  </si>
  <si>
    <t>C1161</t>
  </si>
  <si>
    <t>LN10735</t>
  </si>
  <si>
    <t>C1303</t>
  </si>
  <si>
    <t>LN10736</t>
  </si>
  <si>
    <t>LN10737</t>
  </si>
  <si>
    <t>LN10738</t>
  </si>
  <si>
    <t>C1319</t>
  </si>
  <si>
    <t>LN10739</t>
  </si>
  <si>
    <t>LN10740</t>
  </si>
  <si>
    <t>LN10741</t>
  </si>
  <si>
    <t>LN10742</t>
  </si>
  <si>
    <t>C1180</t>
  </si>
  <si>
    <t>LN10743</t>
  </si>
  <si>
    <t>LN10744</t>
  </si>
  <si>
    <t>LN10745</t>
  </si>
  <si>
    <t>LN10746</t>
  </si>
  <si>
    <t>LN10747</t>
  </si>
  <si>
    <t>LN10748</t>
  </si>
  <si>
    <t>LN10749</t>
  </si>
  <si>
    <t>LN10750</t>
  </si>
  <si>
    <t>C1035</t>
  </si>
  <si>
    <t>LN10751</t>
  </si>
  <si>
    <t>LN10752</t>
  </si>
  <si>
    <t>C1435</t>
  </si>
  <si>
    <t>LN10753</t>
  </si>
  <si>
    <t>LN10754</t>
  </si>
  <si>
    <t>LN10755</t>
  </si>
  <si>
    <t>LN10756</t>
  </si>
  <si>
    <t>C1267</t>
  </si>
  <si>
    <t>LN10757</t>
  </si>
  <si>
    <t>LN10758</t>
  </si>
  <si>
    <t>C1115</t>
  </si>
  <si>
    <t>LN10759</t>
  </si>
  <si>
    <t>C1474</t>
  </si>
  <si>
    <t>LN10760</t>
  </si>
  <si>
    <t>LN10761</t>
  </si>
  <si>
    <t>C1491</t>
  </si>
  <si>
    <t>LN10762</t>
  </si>
  <si>
    <t>LN10763</t>
  </si>
  <si>
    <t>LN10764</t>
  </si>
  <si>
    <t>LN10765</t>
  </si>
  <si>
    <t>LN10766</t>
  </si>
  <si>
    <t>LN10767</t>
  </si>
  <si>
    <t>LN10768</t>
  </si>
  <si>
    <t>LN10769</t>
  </si>
  <si>
    <t>LN10770</t>
  </si>
  <si>
    <t>LN10771</t>
  </si>
  <si>
    <t>LN10772</t>
  </si>
  <si>
    <t>LN10773</t>
  </si>
  <si>
    <t>LN10774</t>
  </si>
  <si>
    <t>C1043</t>
  </si>
  <si>
    <t>LN10775</t>
  </si>
  <si>
    <t>LN10776</t>
  </si>
  <si>
    <t>C1008</t>
  </si>
  <si>
    <t>LN10777</t>
  </si>
  <si>
    <t>LN10778</t>
  </si>
  <si>
    <t>LN10779</t>
  </si>
  <si>
    <t>LN10780</t>
  </si>
  <si>
    <t>LN10781</t>
  </si>
  <si>
    <t>LN10782</t>
  </si>
  <si>
    <t>LN10783</t>
  </si>
  <si>
    <t>LN10784</t>
  </si>
  <si>
    <t>C1211</t>
  </si>
  <si>
    <t>LN10785</t>
  </si>
  <si>
    <t>C1362</t>
  </si>
  <si>
    <t>LN10786</t>
  </si>
  <si>
    <t>C1459</t>
  </si>
  <si>
    <t>LN10787</t>
  </si>
  <si>
    <t>LN10788</t>
  </si>
  <si>
    <t>LN10789</t>
  </si>
  <si>
    <t>LN10790</t>
  </si>
  <si>
    <t>LN10791</t>
  </si>
  <si>
    <t>LN10792</t>
  </si>
  <si>
    <t>C1196</t>
  </si>
  <si>
    <t>LN10793</t>
  </si>
  <si>
    <t>C1272</t>
  </si>
  <si>
    <t>LN10794</t>
  </si>
  <si>
    <t>LN10795</t>
  </si>
  <si>
    <t>LN10796</t>
  </si>
  <si>
    <t>LN10797</t>
  </si>
  <si>
    <t>LN10798</t>
  </si>
  <si>
    <t>LN10799</t>
  </si>
  <si>
    <t>C1151</t>
  </si>
  <si>
    <t>LN10800</t>
  </si>
  <si>
    <t>LN10801</t>
  </si>
  <si>
    <t>LN10802</t>
  </si>
  <si>
    <t>LN10803</t>
  </si>
  <si>
    <t>LN10804</t>
  </si>
  <si>
    <t>LN10805</t>
  </si>
  <si>
    <t>LN10806</t>
  </si>
  <si>
    <t>LN10807</t>
  </si>
  <si>
    <t>LN10808</t>
  </si>
  <si>
    <t>C1448</t>
  </si>
  <si>
    <t>LN10809</t>
  </si>
  <si>
    <t>LN10810</t>
  </si>
  <si>
    <t>LN10811</t>
  </si>
  <si>
    <t>LN10812</t>
  </si>
  <si>
    <t>LN10813</t>
  </si>
  <si>
    <t>LN10814</t>
  </si>
  <si>
    <t>LN10815</t>
  </si>
  <si>
    <t>C1071</t>
  </si>
  <si>
    <t>LN10816</t>
  </si>
  <si>
    <t>LN10817</t>
  </si>
  <si>
    <t>LN10818</t>
  </si>
  <si>
    <t>LN10819</t>
  </si>
  <si>
    <t>C1082</t>
  </si>
  <si>
    <t>LN10820</t>
  </si>
  <si>
    <t>LN10821</t>
  </si>
  <si>
    <t>LN10822</t>
  </si>
  <si>
    <t>LN10823</t>
  </si>
  <si>
    <t>C1397</t>
  </si>
  <si>
    <t>LN10824</t>
  </si>
  <si>
    <t>LN10825</t>
  </si>
  <si>
    <t>LN10826</t>
  </si>
  <si>
    <t>LN10827</t>
  </si>
  <si>
    <t>LN10828</t>
  </si>
  <si>
    <t>C1496</t>
  </si>
  <si>
    <t>LN10829</t>
  </si>
  <si>
    <t>C1339</t>
  </si>
  <si>
    <t>LN10830</t>
  </si>
  <si>
    <t>LN10831</t>
  </si>
  <si>
    <t>LN10832</t>
  </si>
  <si>
    <t>LN10833</t>
  </si>
  <si>
    <t>LN10834</t>
  </si>
  <si>
    <t>LN10835</t>
  </si>
  <si>
    <t>LN10836</t>
  </si>
  <si>
    <t>LN10837</t>
  </si>
  <si>
    <t>LN10838</t>
  </si>
  <si>
    <t>LN10839</t>
  </si>
  <si>
    <t>LN10840</t>
  </si>
  <si>
    <t>C1287</t>
  </si>
  <si>
    <t>LN10841</t>
  </si>
  <si>
    <t>LN10842</t>
  </si>
  <si>
    <t>LN10843</t>
  </si>
  <si>
    <t>LN10844</t>
  </si>
  <si>
    <t>LN10845</t>
  </si>
  <si>
    <t>LN10846</t>
  </si>
  <si>
    <t>LN10847</t>
  </si>
  <si>
    <t>C1213</t>
  </si>
  <si>
    <t>LN10848</t>
  </si>
  <si>
    <t>LN10849</t>
  </si>
  <si>
    <t>LN10850</t>
  </si>
  <si>
    <t>LN10851</t>
  </si>
  <si>
    <t>C1379</t>
  </si>
  <si>
    <t>LN10852</t>
  </si>
  <si>
    <t>LN10853</t>
  </si>
  <si>
    <t>C1444</t>
  </si>
  <si>
    <t>LN10854</t>
  </si>
  <si>
    <t>C1096</t>
  </si>
  <si>
    <t>LN10855</t>
  </si>
  <si>
    <t>LN10856</t>
  </si>
  <si>
    <t>LN10857</t>
  </si>
  <si>
    <t>C1417</t>
  </si>
  <si>
    <t>LN10858</t>
  </si>
  <si>
    <t>LN10859</t>
  </si>
  <si>
    <t>LN10860</t>
  </si>
  <si>
    <t>LN10861</t>
  </si>
  <si>
    <t>LN10862</t>
  </si>
  <si>
    <t>LN10863</t>
  </si>
  <si>
    <t>LN10864</t>
  </si>
  <si>
    <t>LN10865</t>
  </si>
  <si>
    <t>LN10866</t>
  </si>
  <si>
    <t>LN10867</t>
  </si>
  <si>
    <t>LN10868</t>
  </si>
  <si>
    <t>LN10869</t>
  </si>
  <si>
    <t>LN10870</t>
  </si>
  <si>
    <t>LN10871</t>
  </si>
  <si>
    <t>LN10872</t>
  </si>
  <si>
    <t>LN10873</t>
  </si>
  <si>
    <t>LN10874</t>
  </si>
  <si>
    <t>LN10875</t>
  </si>
  <si>
    <t>LN10876</t>
  </si>
  <si>
    <t>C1216</t>
  </si>
  <si>
    <t>LN10877</t>
  </si>
  <si>
    <t>LN10878</t>
  </si>
  <si>
    <t>LN10879</t>
  </si>
  <si>
    <t>LN10880</t>
  </si>
  <si>
    <t>C1074</t>
  </si>
  <si>
    <t>LN10881</t>
  </si>
  <si>
    <t>LN10882</t>
  </si>
  <si>
    <t>LN10883</t>
  </si>
  <si>
    <t>C1490</t>
  </si>
  <si>
    <t>LN10884</t>
  </si>
  <si>
    <t>C1289</t>
  </si>
  <si>
    <t>LN10885</t>
  </si>
  <si>
    <t>LN10886</t>
  </si>
  <si>
    <t>LN10887</t>
  </si>
  <si>
    <t>LN10888</t>
  </si>
  <si>
    <t>LN10889</t>
  </si>
  <si>
    <t>LN10890</t>
  </si>
  <si>
    <t>LN10891</t>
  </si>
  <si>
    <t>LN10892</t>
  </si>
  <si>
    <t>LN10893</t>
  </si>
  <si>
    <t>LN10894</t>
  </si>
  <si>
    <t>LN10895</t>
  </si>
  <si>
    <t>C1079</t>
  </si>
  <si>
    <t>LN10896</t>
  </si>
  <si>
    <t>C1463</t>
  </si>
  <si>
    <t>LN10897</t>
  </si>
  <si>
    <t>C1017</t>
  </si>
  <si>
    <t>LN10898</t>
  </si>
  <si>
    <t>LN10899</t>
  </si>
  <si>
    <t>LN10900</t>
  </si>
  <si>
    <t>LN10901</t>
  </si>
  <si>
    <t>LN10902</t>
  </si>
  <si>
    <t>LN10903</t>
  </si>
  <si>
    <t>C1242</t>
  </si>
  <si>
    <t>LN10904</t>
  </si>
  <si>
    <t>LN10905</t>
  </si>
  <si>
    <t>LN10906</t>
  </si>
  <si>
    <t>LN10907</t>
  </si>
  <si>
    <t>LN10908</t>
  </si>
  <si>
    <t>C1399</t>
  </si>
  <si>
    <t>LN10909</t>
  </si>
  <si>
    <t>LN10910</t>
  </si>
  <si>
    <t>LN10911</t>
  </si>
  <si>
    <t>LN10912</t>
  </si>
  <si>
    <t>LN10913</t>
  </si>
  <si>
    <t>LN10914</t>
  </si>
  <si>
    <t>LN10915</t>
  </si>
  <si>
    <t>LN10916</t>
  </si>
  <si>
    <t>C1149</t>
  </si>
  <si>
    <t>LN10917</t>
  </si>
  <si>
    <t>LN10918</t>
  </si>
  <si>
    <t>LN10919</t>
  </si>
  <si>
    <t>LN10920</t>
  </si>
  <si>
    <t>C1445</t>
  </si>
  <si>
    <t>LN10921</t>
  </si>
  <si>
    <t>LN10922</t>
  </si>
  <si>
    <t>LN10923</t>
  </si>
  <si>
    <t>LN10924</t>
  </si>
  <si>
    <t>LN10925</t>
  </si>
  <si>
    <t>LN10926</t>
  </si>
  <si>
    <t>C1235</t>
  </si>
  <si>
    <t>LN10927</t>
  </si>
  <si>
    <t>LN10928</t>
  </si>
  <si>
    <t>C1392</t>
  </si>
  <si>
    <t>LN10929</t>
  </si>
  <si>
    <t>C1254</t>
  </si>
  <si>
    <t>LN10930</t>
  </si>
  <si>
    <t>C1057</t>
  </si>
  <si>
    <t>LN10931</t>
  </si>
  <si>
    <t>LN10932</t>
  </si>
  <si>
    <t>LN10933</t>
  </si>
  <si>
    <t>LN10934</t>
  </si>
  <si>
    <t>LN10935</t>
  </si>
  <si>
    <t>LN10936</t>
  </si>
  <si>
    <t>LN10937</t>
  </si>
  <si>
    <t>LN10938</t>
  </si>
  <si>
    <t>LN10939</t>
  </si>
  <si>
    <t>C1480</t>
  </si>
  <si>
    <t>LN10940</t>
  </si>
  <si>
    <t>LN10941</t>
  </si>
  <si>
    <t>LN10942</t>
  </si>
  <si>
    <t>LN10943</t>
  </si>
  <si>
    <t>LN10944</t>
  </si>
  <si>
    <t>LN10945</t>
  </si>
  <si>
    <t>LN10946</t>
  </si>
  <si>
    <t>LN10947</t>
  </si>
  <si>
    <t>LN10948</t>
  </si>
  <si>
    <t>C1078</t>
  </si>
  <si>
    <t>LN10949</t>
  </si>
  <si>
    <t>LN10950</t>
  </si>
  <si>
    <t>LN10951</t>
  </si>
  <si>
    <t>LN10952</t>
  </si>
  <si>
    <t>LN10953</t>
  </si>
  <si>
    <t>LN10954</t>
  </si>
  <si>
    <t>LN10955</t>
  </si>
  <si>
    <t>LN10956</t>
  </si>
  <si>
    <t>LN10957</t>
  </si>
  <si>
    <t>LN10958</t>
  </si>
  <si>
    <t>LN10959</t>
  </si>
  <si>
    <t>LN10960</t>
  </si>
  <si>
    <t>LN10961</t>
  </si>
  <si>
    <t>LN10962</t>
  </si>
  <si>
    <t>LN10963</t>
  </si>
  <si>
    <t>LN10964</t>
  </si>
  <si>
    <t>LN10965</t>
  </si>
  <si>
    <t>C1313</t>
  </si>
  <si>
    <t>LN10966</t>
  </si>
  <si>
    <t>LN10967</t>
  </si>
  <si>
    <t>LN10968</t>
  </si>
  <si>
    <t>LN10969</t>
  </si>
  <si>
    <t>LN10970</t>
  </si>
  <si>
    <t>LN10971</t>
  </si>
  <si>
    <t>LN10972</t>
  </si>
  <si>
    <t>LN10973</t>
  </si>
  <si>
    <t>LN10974</t>
  </si>
  <si>
    <t>LN10975</t>
  </si>
  <si>
    <t>LN10976</t>
  </si>
  <si>
    <t>C1429</t>
  </si>
  <si>
    <t>LN10977</t>
  </si>
  <si>
    <t>LN10978</t>
  </si>
  <si>
    <t>C1277</t>
  </si>
  <si>
    <t>LN10979</t>
  </si>
  <si>
    <t>LN10980</t>
  </si>
  <si>
    <t>LN10981</t>
  </si>
  <si>
    <t>LN10982</t>
  </si>
  <si>
    <t>LN10983</t>
  </si>
  <si>
    <t>LN10984</t>
  </si>
  <si>
    <t>LN10985</t>
  </si>
  <si>
    <t>LN10986</t>
  </si>
  <si>
    <t>LN10987</t>
  </si>
  <si>
    <t>LN10988</t>
  </si>
  <si>
    <t>LN10989</t>
  </si>
  <si>
    <t>C1351</t>
  </si>
  <si>
    <t>LN10990</t>
  </si>
  <si>
    <t>LN10991</t>
  </si>
  <si>
    <t>LN10992</t>
  </si>
  <si>
    <t>LN10993</t>
  </si>
  <si>
    <t>LN10994</t>
  </si>
  <si>
    <t>LN10995</t>
  </si>
  <si>
    <t>LN10996</t>
  </si>
  <si>
    <t>LN10997</t>
  </si>
  <si>
    <t>LN10998</t>
  </si>
  <si>
    <t>LN10999</t>
  </si>
  <si>
    <t>LN11000</t>
  </si>
  <si>
    <t>Days Past Due</t>
  </si>
  <si>
    <t>Default Flag</t>
  </si>
  <si>
    <t>Risk Rating</t>
  </si>
  <si>
    <t>Provision Amount</t>
  </si>
  <si>
    <t>Recovery Amount</t>
  </si>
  <si>
    <t>Collateral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</si>
</sst>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2940-5AE9-409E-8F32-FFD13FFA4A4F}">
  <dimension ref="A1:P1001"/>
  <sheetViews>
    <sheetView tabSelected="1" workbookViewId="0">
      <selection activeCell="P2" sqref="P2:P1001"/>
    </sheetView>
  </sheetViews>
  <sheetFormatPr defaultRowHeight="14" x14ac:dyDescent="0.3"/>
  <cols>
    <col min="5" max="5" width="16.19921875" bestFit="1" customWidth="1"/>
    <col min="10" max="10" width="17.3984375" bestFit="1" customWidth="1"/>
    <col min="11" max="11" width="12.59765625" bestFit="1" customWidth="1"/>
    <col min="12" max="12" width="10.69921875" bestFit="1" customWidth="1"/>
    <col min="13" max="13" width="9.59765625" bestFit="1" customWidth="1"/>
    <col min="14" max="14" width="14.8984375" bestFit="1" customWidth="1"/>
    <col min="15" max="15" width="15" bestFit="1" customWidth="1"/>
    <col min="16" max="16" width="14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1453</v>
      </c>
      <c r="L1" t="s">
        <v>1454</v>
      </c>
      <c r="M1" t="s">
        <v>1455</v>
      </c>
      <c r="N1" t="s">
        <v>1456</v>
      </c>
      <c r="O1" t="s">
        <v>1457</v>
      </c>
      <c r="P1" t="s">
        <v>1458</v>
      </c>
    </row>
    <row r="2" spans="1:16" x14ac:dyDescent="0.3">
      <c r="A2" t="s">
        <v>10</v>
      </c>
      <c r="B2" t="s">
        <v>11</v>
      </c>
      <c r="C2" t="s">
        <v>12</v>
      </c>
      <c r="D2" t="s">
        <v>13</v>
      </c>
      <c r="E2" s="1">
        <v>45959</v>
      </c>
      <c r="F2">
        <v>4238.1000000000004</v>
      </c>
      <c r="G2">
        <v>20.73</v>
      </c>
      <c r="H2">
        <v>60</v>
      </c>
      <c r="I2" t="s">
        <v>14</v>
      </c>
      <c r="J2">
        <v>3179</v>
      </c>
      <c r="K2">
        <f ca="1">IF(I2="Paid Off",0,CHOOSE(RANDBETWEEN(1,10),0,0,0,0,15,30,45,60,90,120))</f>
        <v>120</v>
      </c>
      <c r="L2">
        <f ca="1">IF(K2&gt;=90,1,0)</f>
        <v>1</v>
      </c>
      <c r="M2" t="str">
        <f ca="1">IF(K2&gt;=90,"High",IF(K2&gt;=30,"Medium","Low"))</f>
        <v>High</v>
      </c>
      <c r="N2">
        <f ca="1">IF(L2=1,H2*0.25,IF(K2&gt;=60,H2*0.1,IF(K2&gt;=30,H2*0.05,H2*0.01)))</f>
        <v>15</v>
      </c>
      <c r="O2">
        <f ca="1">IF(L2=1,H2*RANDBETWEEN(5,30)/100,0)</f>
        <v>10.199999999999999</v>
      </c>
      <c r="P2">
        <f ca="1">IF(OR(D2="P02",D2="P03",D2="P05"),F2*RANDBETWEEN(70,130)/100,0)</f>
        <v>0</v>
      </c>
    </row>
    <row r="3" spans="1:16" x14ac:dyDescent="0.3">
      <c r="A3" t="s">
        <v>15</v>
      </c>
      <c r="B3" t="s">
        <v>16</v>
      </c>
      <c r="C3" t="s">
        <v>17</v>
      </c>
      <c r="D3" t="s">
        <v>18</v>
      </c>
      <c r="E3" s="1">
        <v>45724</v>
      </c>
      <c r="F3">
        <v>23617.19</v>
      </c>
      <c r="G3">
        <v>19.079999999999998</v>
      </c>
      <c r="H3">
        <v>36</v>
      </c>
      <c r="I3" t="s">
        <v>19</v>
      </c>
      <c r="J3">
        <v>0</v>
      </c>
      <c r="K3">
        <f ca="1">IF(I3="Paid Off",0,CHOOSE(RANDBETWEEN(1,10),0,0,0,0,15,30,45,60,90,120))</f>
        <v>0</v>
      </c>
      <c r="L3">
        <f t="shared" ref="L3:L66" ca="1" si="0">IF(K3&gt;=90,1,0)</f>
        <v>0</v>
      </c>
      <c r="M3" t="str">
        <f t="shared" ref="M3:M66" ca="1" si="1">IF(K3&gt;=90,"High",IF(K3&gt;=30,"Medium","Low"))</f>
        <v>Low</v>
      </c>
      <c r="N3">
        <f t="shared" ref="N3:N66" ca="1" si="2">IF(L3=1,H3*0.25,IF(K3&gt;=60,H3*0.1,IF(K3&gt;=30,H3*0.05,H3*0.01)))</f>
        <v>0.36</v>
      </c>
      <c r="O3">
        <f t="shared" ref="O3:O66" ca="1" si="3">IF(L3=1,H3*RANDBETWEEN(5,30)/100,0)</f>
        <v>0</v>
      </c>
      <c r="P3">
        <f t="shared" ref="P3:P66" ca="1" si="4">IF(OR(D3="P02",D3="P03",D3="P05"),F3*RANDBETWEEN(70,130)/100,0)</f>
        <v>0</v>
      </c>
    </row>
    <row r="4" spans="1:16" x14ac:dyDescent="0.3">
      <c r="A4" t="s">
        <v>20</v>
      </c>
      <c r="B4" t="s">
        <v>21</v>
      </c>
      <c r="C4" t="s">
        <v>17</v>
      </c>
      <c r="D4" t="s">
        <v>22</v>
      </c>
      <c r="E4" s="1">
        <v>45910</v>
      </c>
      <c r="F4">
        <v>38391.269999999997</v>
      </c>
      <c r="G4">
        <v>14.77</v>
      </c>
      <c r="H4">
        <v>60</v>
      </c>
      <c r="I4" t="s">
        <v>14</v>
      </c>
      <c r="J4">
        <v>24954</v>
      </c>
      <c r="K4">
        <f t="shared" ref="K3:K66" ca="1" si="5">IF(I4="Paid Off",0,CHOOSE(RANDBETWEEN(1,10),0,0,0,0,15,30,45,60,90,120))</f>
        <v>30</v>
      </c>
      <c r="L4">
        <f t="shared" ca="1" si="0"/>
        <v>0</v>
      </c>
      <c r="M4" t="str">
        <f t="shared" ca="1" si="1"/>
        <v>Medium</v>
      </c>
      <c r="N4">
        <f t="shared" ca="1" si="2"/>
        <v>3</v>
      </c>
      <c r="O4">
        <f t="shared" ca="1" si="3"/>
        <v>0</v>
      </c>
      <c r="P4">
        <f t="shared" ca="1" si="4"/>
        <v>34168.230299999996</v>
      </c>
    </row>
    <row r="5" spans="1:16" x14ac:dyDescent="0.3">
      <c r="A5" t="s">
        <v>23</v>
      </c>
      <c r="B5" t="s">
        <v>24</v>
      </c>
      <c r="C5" t="s">
        <v>25</v>
      </c>
      <c r="D5" t="s">
        <v>26</v>
      </c>
      <c r="E5" s="1">
        <v>45705</v>
      </c>
      <c r="F5">
        <v>64366.98</v>
      </c>
      <c r="G5">
        <v>21.47</v>
      </c>
      <c r="H5">
        <v>180</v>
      </c>
      <c r="I5" t="s">
        <v>27</v>
      </c>
      <c r="J5">
        <v>0</v>
      </c>
      <c r="K5">
        <f ca="1">IF(I5="Paid Off",0,CHOOSE(RANDBETWEEN(1,10),0,0,0,0,15,30,45,60,90,120))</f>
        <v>0</v>
      </c>
      <c r="L5">
        <f t="shared" ca="1" si="0"/>
        <v>0</v>
      </c>
      <c r="M5" t="str">
        <f t="shared" ca="1" si="1"/>
        <v>Low</v>
      </c>
      <c r="N5">
        <f t="shared" ca="1" si="2"/>
        <v>1.8</v>
      </c>
      <c r="O5">
        <f t="shared" ca="1" si="3"/>
        <v>0</v>
      </c>
      <c r="P5">
        <f t="shared" ca="1" si="4"/>
        <v>71447.347800000003</v>
      </c>
    </row>
    <row r="6" spans="1:16" x14ac:dyDescent="0.3">
      <c r="A6" t="s">
        <v>28</v>
      </c>
      <c r="B6" t="s">
        <v>29</v>
      </c>
      <c r="C6" t="s">
        <v>12</v>
      </c>
      <c r="D6" t="s">
        <v>30</v>
      </c>
      <c r="E6" s="1">
        <v>45520</v>
      </c>
      <c r="F6">
        <v>43701.4</v>
      </c>
      <c r="G6">
        <v>10.039999999999999</v>
      </c>
      <c r="H6">
        <v>180</v>
      </c>
      <c r="I6" t="s">
        <v>27</v>
      </c>
      <c r="J6">
        <v>0</v>
      </c>
      <c r="K6">
        <f t="shared" ca="1" si="5"/>
        <v>120</v>
      </c>
      <c r="L6">
        <f t="shared" ca="1" si="0"/>
        <v>1</v>
      </c>
      <c r="M6" t="str">
        <f t="shared" ca="1" si="1"/>
        <v>High</v>
      </c>
      <c r="N6">
        <f t="shared" ca="1" si="2"/>
        <v>45</v>
      </c>
      <c r="O6">
        <f t="shared" ca="1" si="3"/>
        <v>16.2</v>
      </c>
      <c r="P6">
        <f t="shared" ca="1" si="4"/>
        <v>0</v>
      </c>
    </row>
    <row r="7" spans="1:16" x14ac:dyDescent="0.3">
      <c r="A7" t="s">
        <v>31</v>
      </c>
      <c r="B7" t="s">
        <v>32</v>
      </c>
      <c r="C7" t="s">
        <v>33</v>
      </c>
      <c r="D7" t="s">
        <v>22</v>
      </c>
      <c r="E7" s="1">
        <v>46138</v>
      </c>
      <c r="F7">
        <v>8261.44</v>
      </c>
      <c r="G7">
        <v>12.37</v>
      </c>
      <c r="H7">
        <v>120</v>
      </c>
      <c r="I7" t="s">
        <v>27</v>
      </c>
      <c r="J7">
        <v>0</v>
      </c>
      <c r="K7">
        <f t="shared" ca="1" si="5"/>
        <v>30</v>
      </c>
      <c r="L7">
        <f t="shared" ca="1" si="0"/>
        <v>0</v>
      </c>
      <c r="M7" t="str">
        <f t="shared" ca="1" si="1"/>
        <v>Medium</v>
      </c>
      <c r="N7">
        <f t="shared" ca="1" si="2"/>
        <v>6</v>
      </c>
      <c r="O7">
        <f t="shared" ca="1" si="3"/>
        <v>0</v>
      </c>
      <c r="P7">
        <f t="shared" ca="1" si="4"/>
        <v>6609.152000000001</v>
      </c>
    </row>
    <row r="8" spans="1:16" x14ac:dyDescent="0.3">
      <c r="A8" t="s">
        <v>34</v>
      </c>
      <c r="B8" t="s">
        <v>35</v>
      </c>
      <c r="C8" t="s">
        <v>36</v>
      </c>
      <c r="D8" t="s">
        <v>30</v>
      </c>
      <c r="E8" s="1">
        <v>45838</v>
      </c>
      <c r="F8">
        <v>5269.65</v>
      </c>
      <c r="G8">
        <v>9.93</v>
      </c>
      <c r="H8">
        <v>48</v>
      </c>
      <c r="I8" t="s">
        <v>14</v>
      </c>
      <c r="J8">
        <v>2161</v>
      </c>
      <c r="K8">
        <f t="shared" ca="1" si="5"/>
        <v>0</v>
      </c>
      <c r="L8">
        <f t="shared" ca="1" si="0"/>
        <v>0</v>
      </c>
      <c r="M8" t="str">
        <f t="shared" ca="1" si="1"/>
        <v>Low</v>
      </c>
      <c r="N8">
        <f t="shared" ca="1" si="2"/>
        <v>0.48</v>
      </c>
      <c r="O8">
        <f t="shared" ca="1" si="3"/>
        <v>0</v>
      </c>
      <c r="P8">
        <f t="shared" ca="1" si="4"/>
        <v>0</v>
      </c>
    </row>
    <row r="9" spans="1:16" x14ac:dyDescent="0.3">
      <c r="A9" t="s">
        <v>37</v>
      </c>
      <c r="B9" t="s">
        <v>38</v>
      </c>
      <c r="C9" t="s">
        <v>39</v>
      </c>
      <c r="D9" t="s">
        <v>30</v>
      </c>
      <c r="E9" s="1">
        <v>46072</v>
      </c>
      <c r="F9">
        <v>92737.19</v>
      </c>
      <c r="G9">
        <v>7.85</v>
      </c>
      <c r="H9">
        <v>84</v>
      </c>
      <c r="I9" t="s">
        <v>14</v>
      </c>
      <c r="J9">
        <v>43586</v>
      </c>
      <c r="K9">
        <f t="shared" ca="1" si="5"/>
        <v>120</v>
      </c>
      <c r="L9">
        <f t="shared" ca="1" si="0"/>
        <v>1</v>
      </c>
      <c r="M9" t="str">
        <f t="shared" ca="1" si="1"/>
        <v>High</v>
      </c>
      <c r="N9">
        <f t="shared" ca="1" si="2"/>
        <v>21</v>
      </c>
      <c r="O9">
        <f t="shared" ca="1" si="3"/>
        <v>10.92</v>
      </c>
      <c r="P9">
        <f t="shared" ca="1" si="4"/>
        <v>0</v>
      </c>
    </row>
    <row r="10" spans="1:16" x14ac:dyDescent="0.3">
      <c r="A10" t="s">
        <v>40</v>
      </c>
      <c r="B10" t="s">
        <v>41</v>
      </c>
      <c r="C10" t="s">
        <v>39</v>
      </c>
      <c r="D10" t="s">
        <v>13</v>
      </c>
      <c r="E10" s="1">
        <v>45960</v>
      </c>
      <c r="F10">
        <v>87276.31</v>
      </c>
      <c r="G10">
        <v>13.22</v>
      </c>
      <c r="H10">
        <v>180</v>
      </c>
      <c r="I10" t="s">
        <v>27</v>
      </c>
      <c r="J10">
        <v>0</v>
      </c>
      <c r="K10">
        <f t="shared" ca="1" si="5"/>
        <v>0</v>
      </c>
      <c r="L10">
        <f t="shared" ca="1" si="0"/>
        <v>0</v>
      </c>
      <c r="M10" t="str">
        <f t="shared" ca="1" si="1"/>
        <v>Low</v>
      </c>
      <c r="N10">
        <f t="shared" ca="1" si="2"/>
        <v>1.8</v>
      </c>
      <c r="O10">
        <f t="shared" ca="1" si="3"/>
        <v>0</v>
      </c>
      <c r="P10">
        <f t="shared" ca="1" si="4"/>
        <v>0</v>
      </c>
    </row>
    <row r="11" spans="1:16" x14ac:dyDescent="0.3">
      <c r="A11" t="s">
        <v>42</v>
      </c>
      <c r="B11" t="s">
        <v>43</v>
      </c>
      <c r="C11" t="s">
        <v>25</v>
      </c>
      <c r="D11" t="s">
        <v>18</v>
      </c>
      <c r="E11" s="1">
        <v>46143</v>
      </c>
      <c r="F11">
        <v>45656.19</v>
      </c>
      <c r="G11">
        <v>20.85</v>
      </c>
      <c r="H11">
        <v>72</v>
      </c>
      <c r="I11" t="s">
        <v>27</v>
      </c>
      <c r="J11">
        <v>0</v>
      </c>
      <c r="K11">
        <f t="shared" ca="1" si="5"/>
        <v>0</v>
      </c>
      <c r="L11">
        <f t="shared" ca="1" si="0"/>
        <v>0</v>
      </c>
      <c r="M11" t="str">
        <f t="shared" ca="1" si="1"/>
        <v>Low</v>
      </c>
      <c r="N11">
        <f t="shared" ca="1" si="2"/>
        <v>0.72</v>
      </c>
      <c r="O11">
        <f t="shared" ca="1" si="3"/>
        <v>0</v>
      </c>
      <c r="P11">
        <f t="shared" ca="1" si="4"/>
        <v>0</v>
      </c>
    </row>
    <row r="12" spans="1:16" x14ac:dyDescent="0.3">
      <c r="A12" t="s">
        <v>44</v>
      </c>
      <c r="B12" t="s">
        <v>32</v>
      </c>
      <c r="C12" t="s">
        <v>17</v>
      </c>
      <c r="D12" t="s">
        <v>13</v>
      </c>
      <c r="E12" s="1">
        <v>45622</v>
      </c>
      <c r="F12">
        <v>82594.080000000002</v>
      </c>
      <c r="G12">
        <v>19.8</v>
      </c>
      <c r="H12">
        <v>180</v>
      </c>
      <c r="I12" t="s">
        <v>14</v>
      </c>
      <c r="J12">
        <v>49556</v>
      </c>
      <c r="K12">
        <f t="shared" ca="1" si="5"/>
        <v>0</v>
      </c>
      <c r="L12">
        <f t="shared" ca="1" si="0"/>
        <v>0</v>
      </c>
      <c r="M12" t="str">
        <f t="shared" ca="1" si="1"/>
        <v>Low</v>
      </c>
      <c r="N12">
        <f t="shared" ca="1" si="2"/>
        <v>1.8</v>
      </c>
      <c r="O12">
        <f t="shared" ca="1" si="3"/>
        <v>0</v>
      </c>
      <c r="P12">
        <f t="shared" ca="1" si="4"/>
        <v>0</v>
      </c>
    </row>
    <row r="13" spans="1:16" x14ac:dyDescent="0.3">
      <c r="A13" t="s">
        <v>45</v>
      </c>
      <c r="B13" t="s">
        <v>46</v>
      </c>
      <c r="C13" t="s">
        <v>39</v>
      </c>
      <c r="D13" t="s">
        <v>26</v>
      </c>
      <c r="E13" s="1">
        <v>45838</v>
      </c>
      <c r="F13">
        <v>32252</v>
      </c>
      <c r="G13">
        <v>20.69</v>
      </c>
      <c r="H13">
        <v>240</v>
      </c>
      <c r="I13" t="s">
        <v>14</v>
      </c>
      <c r="J13">
        <v>24834</v>
      </c>
      <c r="K13">
        <f t="shared" ca="1" si="5"/>
        <v>0</v>
      </c>
      <c r="L13">
        <f t="shared" ca="1" si="0"/>
        <v>0</v>
      </c>
      <c r="M13" t="str">
        <f t="shared" ca="1" si="1"/>
        <v>Low</v>
      </c>
      <c r="N13">
        <f t="shared" ca="1" si="2"/>
        <v>2.4</v>
      </c>
      <c r="O13">
        <f t="shared" ca="1" si="3"/>
        <v>0</v>
      </c>
      <c r="P13">
        <f t="shared" ca="1" si="4"/>
        <v>25479.08</v>
      </c>
    </row>
    <row r="14" spans="1:16" x14ac:dyDescent="0.3">
      <c r="A14" t="s">
        <v>47</v>
      </c>
      <c r="B14" t="s">
        <v>48</v>
      </c>
      <c r="C14" t="s">
        <v>25</v>
      </c>
      <c r="D14" t="s">
        <v>30</v>
      </c>
      <c r="E14" s="1">
        <v>45301</v>
      </c>
      <c r="F14">
        <v>54219.72</v>
      </c>
      <c r="G14">
        <v>13.51</v>
      </c>
      <c r="H14">
        <v>60</v>
      </c>
      <c r="I14" t="s">
        <v>14</v>
      </c>
      <c r="J14">
        <v>40123</v>
      </c>
      <c r="K14">
        <f t="shared" ca="1" si="5"/>
        <v>90</v>
      </c>
      <c r="L14">
        <f t="shared" ca="1" si="0"/>
        <v>1</v>
      </c>
      <c r="M14" t="str">
        <f t="shared" ca="1" si="1"/>
        <v>High</v>
      </c>
      <c r="N14">
        <f t="shared" ca="1" si="2"/>
        <v>15</v>
      </c>
      <c r="O14">
        <f t="shared" ca="1" si="3"/>
        <v>18</v>
      </c>
      <c r="P14">
        <f t="shared" ca="1" si="4"/>
        <v>0</v>
      </c>
    </row>
    <row r="15" spans="1:16" x14ac:dyDescent="0.3">
      <c r="A15" t="s">
        <v>49</v>
      </c>
      <c r="B15" t="s">
        <v>50</v>
      </c>
      <c r="C15" t="s">
        <v>51</v>
      </c>
      <c r="D15" t="s">
        <v>26</v>
      </c>
      <c r="E15" s="1">
        <v>45977</v>
      </c>
      <c r="F15">
        <v>56781.87</v>
      </c>
      <c r="G15">
        <v>9.1</v>
      </c>
      <c r="H15">
        <v>180</v>
      </c>
      <c r="I15" t="s">
        <v>19</v>
      </c>
      <c r="J15">
        <v>0</v>
      </c>
      <c r="K15">
        <f t="shared" ca="1" si="5"/>
        <v>0</v>
      </c>
      <c r="L15">
        <f t="shared" ca="1" si="0"/>
        <v>0</v>
      </c>
      <c r="M15" t="str">
        <f t="shared" ca="1" si="1"/>
        <v>Low</v>
      </c>
      <c r="N15">
        <f t="shared" ca="1" si="2"/>
        <v>1.8</v>
      </c>
      <c r="O15">
        <f t="shared" ca="1" si="3"/>
        <v>0</v>
      </c>
      <c r="P15">
        <f t="shared" ca="1" si="4"/>
        <v>42018.5838</v>
      </c>
    </row>
    <row r="16" spans="1:16" x14ac:dyDescent="0.3">
      <c r="A16" t="s">
        <v>52</v>
      </c>
      <c r="B16" t="s">
        <v>53</v>
      </c>
      <c r="C16" t="s">
        <v>54</v>
      </c>
      <c r="D16" t="s">
        <v>18</v>
      </c>
      <c r="E16" s="1">
        <v>45627</v>
      </c>
      <c r="F16">
        <v>81843.06</v>
      </c>
      <c r="G16">
        <v>12.99</v>
      </c>
      <c r="H16">
        <v>36</v>
      </c>
      <c r="I16" t="s">
        <v>27</v>
      </c>
      <c r="J16">
        <v>0</v>
      </c>
      <c r="K16">
        <f t="shared" ca="1" si="5"/>
        <v>60</v>
      </c>
      <c r="L16">
        <f t="shared" ca="1" si="0"/>
        <v>0</v>
      </c>
      <c r="M16" t="str">
        <f t="shared" ca="1" si="1"/>
        <v>Medium</v>
      </c>
      <c r="N16">
        <f t="shared" ca="1" si="2"/>
        <v>3.6</v>
      </c>
      <c r="O16">
        <f t="shared" ca="1" si="3"/>
        <v>0</v>
      </c>
      <c r="P16">
        <f t="shared" ca="1" si="4"/>
        <v>0</v>
      </c>
    </row>
    <row r="17" spans="1:16" x14ac:dyDescent="0.3">
      <c r="A17" t="s">
        <v>55</v>
      </c>
      <c r="B17" t="s">
        <v>50</v>
      </c>
      <c r="C17" t="s">
        <v>33</v>
      </c>
      <c r="D17" t="s">
        <v>26</v>
      </c>
      <c r="E17" s="1">
        <v>45665</v>
      </c>
      <c r="F17">
        <v>37544.730000000003</v>
      </c>
      <c r="G17">
        <v>8.4700000000000006</v>
      </c>
      <c r="H17">
        <v>360</v>
      </c>
      <c r="I17" t="s">
        <v>14</v>
      </c>
      <c r="J17">
        <v>14267</v>
      </c>
      <c r="K17">
        <f t="shared" ca="1" si="5"/>
        <v>90</v>
      </c>
      <c r="L17">
        <f t="shared" ca="1" si="0"/>
        <v>1</v>
      </c>
      <c r="M17" t="str">
        <f t="shared" ca="1" si="1"/>
        <v>High</v>
      </c>
      <c r="N17">
        <f t="shared" ca="1" si="2"/>
        <v>90</v>
      </c>
      <c r="O17">
        <f t="shared" ca="1" si="3"/>
        <v>79.2</v>
      </c>
      <c r="P17">
        <f t="shared" ca="1" si="4"/>
        <v>39046.519200000002</v>
      </c>
    </row>
    <row r="18" spans="1:16" x14ac:dyDescent="0.3">
      <c r="A18" t="s">
        <v>56</v>
      </c>
      <c r="B18" t="s">
        <v>57</v>
      </c>
      <c r="C18" t="s">
        <v>17</v>
      </c>
      <c r="D18" t="s">
        <v>30</v>
      </c>
      <c r="E18" s="1">
        <v>45296</v>
      </c>
      <c r="F18">
        <v>18211.98</v>
      </c>
      <c r="G18">
        <v>16.239999999999998</v>
      </c>
      <c r="H18">
        <v>180</v>
      </c>
      <c r="I18" t="s">
        <v>14</v>
      </c>
      <c r="J18">
        <v>8195</v>
      </c>
      <c r="K18">
        <f t="shared" ca="1" si="5"/>
        <v>120</v>
      </c>
      <c r="L18">
        <f t="shared" ca="1" si="0"/>
        <v>1</v>
      </c>
      <c r="M18" t="str">
        <f t="shared" ca="1" si="1"/>
        <v>High</v>
      </c>
      <c r="N18">
        <f t="shared" ca="1" si="2"/>
        <v>45</v>
      </c>
      <c r="O18">
        <f t="shared" ca="1" si="3"/>
        <v>39.6</v>
      </c>
      <c r="P18">
        <f t="shared" ca="1" si="4"/>
        <v>0</v>
      </c>
    </row>
    <row r="19" spans="1:16" x14ac:dyDescent="0.3">
      <c r="A19" t="s">
        <v>58</v>
      </c>
      <c r="B19" t="s">
        <v>59</v>
      </c>
      <c r="C19" t="s">
        <v>33</v>
      </c>
      <c r="D19" t="s">
        <v>13</v>
      </c>
      <c r="E19" s="1">
        <v>46026</v>
      </c>
      <c r="F19">
        <v>28148.99</v>
      </c>
      <c r="G19">
        <v>19.77</v>
      </c>
      <c r="H19">
        <v>360</v>
      </c>
      <c r="I19" t="s">
        <v>27</v>
      </c>
      <c r="J19">
        <v>0</v>
      </c>
      <c r="K19">
        <f t="shared" ca="1" si="5"/>
        <v>0</v>
      </c>
      <c r="L19">
        <f t="shared" ca="1" si="0"/>
        <v>0</v>
      </c>
      <c r="M19" t="str">
        <f t="shared" ca="1" si="1"/>
        <v>Low</v>
      </c>
      <c r="N19">
        <f t="shared" ca="1" si="2"/>
        <v>3.6</v>
      </c>
      <c r="O19">
        <f t="shared" ca="1" si="3"/>
        <v>0</v>
      </c>
      <c r="P19">
        <f t="shared" ca="1" si="4"/>
        <v>0</v>
      </c>
    </row>
    <row r="20" spans="1:16" x14ac:dyDescent="0.3">
      <c r="A20" t="s">
        <v>60</v>
      </c>
      <c r="B20" t="s">
        <v>61</v>
      </c>
      <c r="C20" t="s">
        <v>25</v>
      </c>
      <c r="D20" t="s">
        <v>30</v>
      </c>
      <c r="E20" s="1">
        <v>45342</v>
      </c>
      <c r="F20">
        <v>2878.45</v>
      </c>
      <c r="G20">
        <v>4.25</v>
      </c>
      <c r="H20">
        <v>180</v>
      </c>
      <c r="I20" t="s">
        <v>14</v>
      </c>
      <c r="J20">
        <v>1957</v>
      </c>
      <c r="K20">
        <f t="shared" ca="1" si="5"/>
        <v>45</v>
      </c>
      <c r="L20">
        <f t="shared" ca="1" si="0"/>
        <v>0</v>
      </c>
      <c r="M20" t="str">
        <f t="shared" ca="1" si="1"/>
        <v>Medium</v>
      </c>
      <c r="N20">
        <f t="shared" ca="1" si="2"/>
        <v>9</v>
      </c>
      <c r="O20">
        <f t="shared" ca="1" si="3"/>
        <v>0</v>
      </c>
      <c r="P20">
        <f t="shared" ca="1" si="4"/>
        <v>0</v>
      </c>
    </row>
    <row r="21" spans="1:16" x14ac:dyDescent="0.3">
      <c r="A21" t="s">
        <v>62</v>
      </c>
      <c r="B21" t="s">
        <v>63</v>
      </c>
      <c r="C21" t="s">
        <v>17</v>
      </c>
      <c r="D21" t="s">
        <v>22</v>
      </c>
      <c r="E21" s="1">
        <v>45444</v>
      </c>
      <c r="F21">
        <v>32691.48</v>
      </c>
      <c r="G21">
        <v>11.57</v>
      </c>
      <c r="H21">
        <v>120</v>
      </c>
      <c r="I21" t="s">
        <v>27</v>
      </c>
      <c r="J21">
        <v>0</v>
      </c>
      <c r="K21">
        <f t="shared" ca="1" si="5"/>
        <v>15</v>
      </c>
      <c r="L21">
        <f t="shared" ca="1" si="0"/>
        <v>0</v>
      </c>
      <c r="M21" t="str">
        <f t="shared" ca="1" si="1"/>
        <v>Low</v>
      </c>
      <c r="N21">
        <f t="shared" ca="1" si="2"/>
        <v>1.2</v>
      </c>
      <c r="O21">
        <f t="shared" ca="1" si="3"/>
        <v>0</v>
      </c>
      <c r="P21">
        <f t="shared" ca="1" si="4"/>
        <v>40864.35</v>
      </c>
    </row>
    <row r="22" spans="1:16" x14ac:dyDescent="0.3">
      <c r="A22" t="s">
        <v>64</v>
      </c>
      <c r="B22" t="s">
        <v>65</v>
      </c>
      <c r="C22" t="s">
        <v>54</v>
      </c>
      <c r="D22" t="s">
        <v>26</v>
      </c>
      <c r="E22" s="1">
        <v>45983</v>
      </c>
      <c r="F22">
        <v>48152.54</v>
      </c>
      <c r="G22">
        <v>18.010000000000002</v>
      </c>
      <c r="H22">
        <v>360</v>
      </c>
      <c r="I22" t="s">
        <v>27</v>
      </c>
      <c r="J22">
        <v>0</v>
      </c>
      <c r="K22">
        <f t="shared" ca="1" si="5"/>
        <v>0</v>
      </c>
      <c r="L22">
        <f t="shared" ca="1" si="0"/>
        <v>0</v>
      </c>
      <c r="M22" t="str">
        <f t="shared" ca="1" si="1"/>
        <v>Low</v>
      </c>
      <c r="N22">
        <f t="shared" ca="1" si="2"/>
        <v>3.6</v>
      </c>
      <c r="O22">
        <f t="shared" ca="1" si="3"/>
        <v>0</v>
      </c>
      <c r="P22">
        <f t="shared" ca="1" si="4"/>
        <v>45263.387599999995</v>
      </c>
    </row>
    <row r="23" spans="1:16" x14ac:dyDescent="0.3">
      <c r="A23" t="s">
        <v>66</v>
      </c>
      <c r="B23" t="s">
        <v>67</v>
      </c>
      <c r="C23" t="s">
        <v>33</v>
      </c>
      <c r="D23" t="s">
        <v>30</v>
      </c>
      <c r="E23" s="1">
        <v>45472</v>
      </c>
      <c r="F23">
        <v>37971.769999999997</v>
      </c>
      <c r="G23">
        <v>20.25</v>
      </c>
      <c r="H23">
        <v>72</v>
      </c>
      <c r="I23" t="s">
        <v>14</v>
      </c>
      <c r="J23">
        <v>29998</v>
      </c>
      <c r="K23">
        <f t="shared" ca="1" si="5"/>
        <v>45</v>
      </c>
      <c r="L23">
        <f t="shared" ca="1" si="0"/>
        <v>0</v>
      </c>
      <c r="M23" t="str">
        <f t="shared" ca="1" si="1"/>
        <v>Medium</v>
      </c>
      <c r="N23">
        <f t="shared" ca="1" si="2"/>
        <v>3.6</v>
      </c>
      <c r="O23">
        <f t="shared" ca="1" si="3"/>
        <v>0</v>
      </c>
      <c r="P23">
        <f t="shared" ca="1" si="4"/>
        <v>0</v>
      </c>
    </row>
    <row r="24" spans="1:16" x14ac:dyDescent="0.3">
      <c r="A24" t="s">
        <v>68</v>
      </c>
      <c r="B24" t="s">
        <v>69</v>
      </c>
      <c r="C24" t="s">
        <v>70</v>
      </c>
      <c r="D24" t="s">
        <v>30</v>
      </c>
      <c r="E24" s="1">
        <v>45780</v>
      </c>
      <c r="F24">
        <v>98665.99</v>
      </c>
      <c r="G24">
        <v>12.48</v>
      </c>
      <c r="H24">
        <v>60</v>
      </c>
      <c r="I24" t="s">
        <v>14</v>
      </c>
      <c r="J24">
        <v>80906</v>
      </c>
      <c r="K24">
        <f t="shared" ca="1" si="5"/>
        <v>0</v>
      </c>
      <c r="L24">
        <f t="shared" ca="1" si="0"/>
        <v>0</v>
      </c>
      <c r="M24" t="str">
        <f t="shared" ca="1" si="1"/>
        <v>Low</v>
      </c>
      <c r="N24">
        <f t="shared" ca="1" si="2"/>
        <v>0.6</v>
      </c>
      <c r="O24">
        <f t="shared" ca="1" si="3"/>
        <v>0</v>
      </c>
      <c r="P24">
        <f t="shared" ca="1" si="4"/>
        <v>0</v>
      </c>
    </row>
    <row r="25" spans="1:16" x14ac:dyDescent="0.3">
      <c r="A25" t="s">
        <v>71</v>
      </c>
      <c r="B25" t="s">
        <v>72</v>
      </c>
      <c r="C25" t="s">
        <v>12</v>
      </c>
      <c r="D25" t="s">
        <v>26</v>
      </c>
      <c r="E25" s="1">
        <v>45470</v>
      </c>
      <c r="F25">
        <v>92047.61</v>
      </c>
      <c r="G25">
        <v>18.350000000000001</v>
      </c>
      <c r="H25">
        <v>36</v>
      </c>
      <c r="I25" t="s">
        <v>14</v>
      </c>
      <c r="J25">
        <v>71797</v>
      </c>
      <c r="K25">
        <f t="shared" ca="1" si="5"/>
        <v>0</v>
      </c>
      <c r="L25">
        <f t="shared" ca="1" si="0"/>
        <v>0</v>
      </c>
      <c r="M25" t="str">
        <f t="shared" ca="1" si="1"/>
        <v>Low</v>
      </c>
      <c r="N25">
        <f t="shared" ca="1" si="2"/>
        <v>0.36</v>
      </c>
      <c r="O25">
        <f t="shared" ca="1" si="3"/>
        <v>0</v>
      </c>
      <c r="P25">
        <f t="shared" ca="1" si="4"/>
        <v>103093.3232</v>
      </c>
    </row>
    <row r="26" spans="1:16" x14ac:dyDescent="0.3">
      <c r="A26" t="s">
        <v>73</v>
      </c>
      <c r="B26" t="s">
        <v>74</v>
      </c>
      <c r="C26" t="s">
        <v>39</v>
      </c>
      <c r="D26" t="s">
        <v>75</v>
      </c>
      <c r="E26" s="1">
        <v>45684</v>
      </c>
      <c r="F26">
        <v>28214.48</v>
      </c>
      <c r="G26">
        <v>12.45</v>
      </c>
      <c r="H26">
        <v>180</v>
      </c>
      <c r="I26" t="s">
        <v>14</v>
      </c>
      <c r="J26">
        <v>22572</v>
      </c>
      <c r="K26">
        <f t="shared" ca="1" si="5"/>
        <v>120</v>
      </c>
      <c r="L26">
        <f t="shared" ca="1" si="0"/>
        <v>1</v>
      </c>
      <c r="M26" t="str">
        <f t="shared" ca="1" si="1"/>
        <v>High</v>
      </c>
      <c r="N26">
        <f t="shared" ca="1" si="2"/>
        <v>45</v>
      </c>
      <c r="O26">
        <f t="shared" ca="1" si="3"/>
        <v>12.6</v>
      </c>
      <c r="P26">
        <f t="shared" ca="1" si="4"/>
        <v>34421.6656</v>
      </c>
    </row>
    <row r="27" spans="1:16" x14ac:dyDescent="0.3">
      <c r="A27" t="s">
        <v>76</v>
      </c>
      <c r="B27" t="s">
        <v>53</v>
      </c>
      <c r="C27" t="s">
        <v>25</v>
      </c>
      <c r="D27" t="s">
        <v>13</v>
      </c>
      <c r="E27" s="1">
        <v>45647</v>
      </c>
      <c r="F27">
        <v>44973.59</v>
      </c>
      <c r="G27">
        <v>10.37</v>
      </c>
      <c r="H27">
        <v>360</v>
      </c>
      <c r="I27" t="s">
        <v>19</v>
      </c>
      <c r="J27">
        <v>0</v>
      </c>
      <c r="K27">
        <f t="shared" ca="1" si="5"/>
        <v>0</v>
      </c>
      <c r="L27">
        <f t="shared" ca="1" si="0"/>
        <v>0</v>
      </c>
      <c r="M27" t="str">
        <f t="shared" ca="1" si="1"/>
        <v>Low</v>
      </c>
      <c r="N27">
        <f t="shared" ca="1" si="2"/>
        <v>3.6</v>
      </c>
      <c r="O27">
        <f t="shared" ca="1" si="3"/>
        <v>0</v>
      </c>
      <c r="P27">
        <f t="shared" ca="1" si="4"/>
        <v>0</v>
      </c>
    </row>
    <row r="28" spans="1:16" x14ac:dyDescent="0.3">
      <c r="A28" t="s">
        <v>77</v>
      </c>
      <c r="B28" t="s">
        <v>78</v>
      </c>
      <c r="C28" t="s">
        <v>54</v>
      </c>
      <c r="D28" t="s">
        <v>75</v>
      </c>
      <c r="E28" s="1">
        <v>45524</v>
      </c>
      <c r="F28">
        <v>48155.040000000001</v>
      </c>
      <c r="G28">
        <v>8.57</v>
      </c>
      <c r="H28">
        <v>84</v>
      </c>
      <c r="I28" t="s">
        <v>14</v>
      </c>
      <c r="J28">
        <v>44303</v>
      </c>
      <c r="K28">
        <f t="shared" ca="1" si="5"/>
        <v>45</v>
      </c>
      <c r="L28">
        <f t="shared" ca="1" si="0"/>
        <v>0</v>
      </c>
      <c r="M28" t="str">
        <f t="shared" ca="1" si="1"/>
        <v>Medium</v>
      </c>
      <c r="N28">
        <f t="shared" ca="1" si="2"/>
        <v>4.2</v>
      </c>
      <c r="O28">
        <f t="shared" ca="1" si="3"/>
        <v>0</v>
      </c>
      <c r="P28">
        <f t="shared" ca="1" si="4"/>
        <v>58267.598399999995</v>
      </c>
    </row>
    <row r="29" spans="1:16" x14ac:dyDescent="0.3">
      <c r="A29" t="s">
        <v>79</v>
      </c>
      <c r="B29" t="s">
        <v>80</v>
      </c>
      <c r="C29" t="s">
        <v>70</v>
      </c>
      <c r="D29" t="s">
        <v>75</v>
      </c>
      <c r="E29" s="1">
        <v>46113</v>
      </c>
      <c r="F29">
        <v>37465.29</v>
      </c>
      <c r="G29">
        <v>7.34</v>
      </c>
      <c r="H29">
        <v>60</v>
      </c>
      <c r="I29" t="s">
        <v>14</v>
      </c>
      <c r="J29">
        <v>26226</v>
      </c>
      <c r="K29">
        <f t="shared" ca="1" si="5"/>
        <v>0</v>
      </c>
      <c r="L29">
        <f t="shared" ca="1" si="0"/>
        <v>0</v>
      </c>
      <c r="M29" t="str">
        <f t="shared" ca="1" si="1"/>
        <v>Low</v>
      </c>
      <c r="N29">
        <f t="shared" ca="1" si="2"/>
        <v>0.6</v>
      </c>
      <c r="O29">
        <f t="shared" ca="1" si="3"/>
        <v>0</v>
      </c>
      <c r="P29">
        <f t="shared" ca="1" si="4"/>
        <v>42335.777700000006</v>
      </c>
    </row>
    <row r="30" spans="1:16" x14ac:dyDescent="0.3">
      <c r="A30" t="s">
        <v>81</v>
      </c>
      <c r="B30" t="s">
        <v>82</v>
      </c>
      <c r="C30" t="s">
        <v>25</v>
      </c>
      <c r="D30" t="s">
        <v>30</v>
      </c>
      <c r="E30" s="1">
        <v>45679</v>
      </c>
      <c r="F30">
        <v>58843.12</v>
      </c>
      <c r="G30">
        <v>12.11</v>
      </c>
      <c r="H30">
        <v>360</v>
      </c>
      <c r="I30" t="s">
        <v>27</v>
      </c>
      <c r="J30">
        <v>0</v>
      </c>
      <c r="K30">
        <f t="shared" ca="1" si="5"/>
        <v>0</v>
      </c>
      <c r="L30">
        <f t="shared" ca="1" si="0"/>
        <v>0</v>
      </c>
      <c r="M30" t="str">
        <f t="shared" ca="1" si="1"/>
        <v>Low</v>
      </c>
      <c r="N30">
        <f t="shared" ca="1" si="2"/>
        <v>3.6</v>
      </c>
      <c r="O30">
        <f t="shared" ca="1" si="3"/>
        <v>0</v>
      </c>
      <c r="P30">
        <f t="shared" ca="1" si="4"/>
        <v>0</v>
      </c>
    </row>
    <row r="31" spans="1:16" x14ac:dyDescent="0.3">
      <c r="A31" t="s">
        <v>83</v>
      </c>
      <c r="B31" t="s">
        <v>84</v>
      </c>
      <c r="C31" t="s">
        <v>12</v>
      </c>
      <c r="D31" t="s">
        <v>30</v>
      </c>
      <c r="E31" s="1">
        <v>45878</v>
      </c>
      <c r="F31">
        <v>24535.360000000001</v>
      </c>
      <c r="G31">
        <v>5.34</v>
      </c>
      <c r="H31">
        <v>180</v>
      </c>
      <c r="I31" t="s">
        <v>14</v>
      </c>
      <c r="J31">
        <v>10059</v>
      </c>
      <c r="K31">
        <f t="shared" ca="1" si="5"/>
        <v>120</v>
      </c>
      <c r="L31">
        <f t="shared" ca="1" si="0"/>
        <v>1</v>
      </c>
      <c r="M31" t="str">
        <f t="shared" ca="1" si="1"/>
        <v>High</v>
      </c>
      <c r="N31">
        <f t="shared" ca="1" si="2"/>
        <v>45</v>
      </c>
      <c r="O31">
        <f t="shared" ca="1" si="3"/>
        <v>9</v>
      </c>
      <c r="P31">
        <f t="shared" ca="1" si="4"/>
        <v>0</v>
      </c>
    </row>
    <row r="32" spans="1:16" x14ac:dyDescent="0.3">
      <c r="A32" t="s">
        <v>85</v>
      </c>
      <c r="B32" t="s">
        <v>86</v>
      </c>
      <c r="C32" t="s">
        <v>25</v>
      </c>
      <c r="D32" t="s">
        <v>26</v>
      </c>
      <c r="E32" s="1">
        <v>45327</v>
      </c>
      <c r="F32">
        <v>58904.26</v>
      </c>
      <c r="G32">
        <v>7.62</v>
      </c>
      <c r="H32">
        <v>72</v>
      </c>
      <c r="I32" t="s">
        <v>27</v>
      </c>
      <c r="J32">
        <v>0</v>
      </c>
      <c r="K32">
        <f t="shared" ca="1" si="5"/>
        <v>0</v>
      </c>
      <c r="L32">
        <f t="shared" ca="1" si="0"/>
        <v>0</v>
      </c>
      <c r="M32" t="str">
        <f t="shared" ca="1" si="1"/>
        <v>Low</v>
      </c>
      <c r="N32">
        <f t="shared" ca="1" si="2"/>
        <v>0.72</v>
      </c>
      <c r="O32">
        <f t="shared" ca="1" si="3"/>
        <v>0</v>
      </c>
      <c r="P32">
        <f t="shared" ca="1" si="4"/>
        <v>55370.004400000005</v>
      </c>
    </row>
    <row r="33" spans="1:16" x14ac:dyDescent="0.3">
      <c r="A33" t="s">
        <v>87</v>
      </c>
      <c r="B33" t="s">
        <v>88</v>
      </c>
      <c r="C33" t="s">
        <v>51</v>
      </c>
      <c r="D33" t="s">
        <v>18</v>
      </c>
      <c r="E33" s="1">
        <v>45918</v>
      </c>
      <c r="F33">
        <v>55877.7</v>
      </c>
      <c r="G33">
        <v>10.94</v>
      </c>
      <c r="H33">
        <v>12</v>
      </c>
      <c r="I33" t="s">
        <v>14</v>
      </c>
      <c r="J33">
        <v>29615</v>
      </c>
      <c r="K33">
        <f t="shared" ca="1" si="5"/>
        <v>60</v>
      </c>
      <c r="L33">
        <f t="shared" ca="1" si="0"/>
        <v>0</v>
      </c>
      <c r="M33" t="str">
        <f t="shared" ca="1" si="1"/>
        <v>Medium</v>
      </c>
      <c r="N33">
        <f t="shared" ca="1" si="2"/>
        <v>1.2000000000000002</v>
      </c>
      <c r="O33">
        <f t="shared" ca="1" si="3"/>
        <v>0</v>
      </c>
      <c r="P33">
        <f t="shared" ca="1" si="4"/>
        <v>0</v>
      </c>
    </row>
    <row r="34" spans="1:16" x14ac:dyDescent="0.3">
      <c r="A34" t="s">
        <v>89</v>
      </c>
      <c r="B34" t="s">
        <v>90</v>
      </c>
      <c r="C34" t="s">
        <v>33</v>
      </c>
      <c r="D34" t="s">
        <v>26</v>
      </c>
      <c r="E34" s="1">
        <v>45939</v>
      </c>
      <c r="F34">
        <v>22717.81</v>
      </c>
      <c r="G34">
        <v>19.14</v>
      </c>
      <c r="H34">
        <v>72</v>
      </c>
      <c r="I34" t="s">
        <v>27</v>
      </c>
      <c r="J34">
        <v>0</v>
      </c>
      <c r="K34">
        <f t="shared" ca="1" si="5"/>
        <v>0</v>
      </c>
      <c r="L34">
        <f t="shared" ca="1" si="0"/>
        <v>0</v>
      </c>
      <c r="M34" t="str">
        <f t="shared" ca="1" si="1"/>
        <v>Low</v>
      </c>
      <c r="N34">
        <f t="shared" ca="1" si="2"/>
        <v>0.72</v>
      </c>
      <c r="O34">
        <f t="shared" ca="1" si="3"/>
        <v>0</v>
      </c>
      <c r="P34">
        <f t="shared" ca="1" si="4"/>
        <v>26352.659599999999</v>
      </c>
    </row>
    <row r="35" spans="1:16" x14ac:dyDescent="0.3">
      <c r="A35" t="s">
        <v>91</v>
      </c>
      <c r="B35" t="s">
        <v>92</v>
      </c>
      <c r="C35" t="s">
        <v>33</v>
      </c>
      <c r="D35" t="s">
        <v>18</v>
      </c>
      <c r="E35" s="1">
        <v>46110</v>
      </c>
      <c r="F35">
        <v>29790.01</v>
      </c>
      <c r="G35">
        <v>18.71</v>
      </c>
      <c r="H35">
        <v>120</v>
      </c>
      <c r="I35" t="s">
        <v>14</v>
      </c>
      <c r="J35">
        <v>12512</v>
      </c>
      <c r="K35">
        <f t="shared" ca="1" si="5"/>
        <v>0</v>
      </c>
      <c r="L35">
        <f t="shared" ca="1" si="0"/>
        <v>0</v>
      </c>
      <c r="M35" t="str">
        <f t="shared" ca="1" si="1"/>
        <v>Low</v>
      </c>
      <c r="N35">
        <f t="shared" ca="1" si="2"/>
        <v>1.2</v>
      </c>
      <c r="O35">
        <f t="shared" ca="1" si="3"/>
        <v>0</v>
      </c>
      <c r="P35">
        <f t="shared" ca="1" si="4"/>
        <v>0</v>
      </c>
    </row>
    <row r="36" spans="1:16" x14ac:dyDescent="0.3">
      <c r="A36" t="s">
        <v>93</v>
      </c>
      <c r="B36" t="s">
        <v>94</v>
      </c>
      <c r="C36" t="s">
        <v>39</v>
      </c>
      <c r="D36" t="s">
        <v>13</v>
      </c>
      <c r="E36" s="1">
        <v>45993</v>
      </c>
      <c r="F36">
        <v>72817.89</v>
      </c>
      <c r="G36">
        <v>21.99</v>
      </c>
      <c r="H36">
        <v>120</v>
      </c>
      <c r="I36" t="s">
        <v>14</v>
      </c>
      <c r="J36">
        <v>46603</v>
      </c>
      <c r="K36">
        <f t="shared" ca="1" si="5"/>
        <v>45</v>
      </c>
      <c r="L36">
        <f t="shared" ca="1" si="0"/>
        <v>0</v>
      </c>
      <c r="M36" t="str">
        <f t="shared" ca="1" si="1"/>
        <v>Medium</v>
      </c>
      <c r="N36">
        <f t="shared" ca="1" si="2"/>
        <v>6</v>
      </c>
      <c r="O36">
        <f t="shared" ca="1" si="3"/>
        <v>0</v>
      </c>
      <c r="P36">
        <f t="shared" ca="1" si="4"/>
        <v>0</v>
      </c>
    </row>
    <row r="37" spans="1:16" x14ac:dyDescent="0.3">
      <c r="A37" t="s">
        <v>95</v>
      </c>
      <c r="B37" t="s">
        <v>96</v>
      </c>
      <c r="C37" t="s">
        <v>12</v>
      </c>
      <c r="D37" t="s">
        <v>30</v>
      </c>
      <c r="E37" s="1">
        <v>45847</v>
      </c>
      <c r="F37">
        <v>36278.080000000002</v>
      </c>
      <c r="G37">
        <v>21.16</v>
      </c>
      <c r="H37">
        <v>84</v>
      </c>
      <c r="I37" t="s">
        <v>14</v>
      </c>
      <c r="J37">
        <v>13786</v>
      </c>
      <c r="K37">
        <f t="shared" ca="1" si="5"/>
        <v>45</v>
      </c>
      <c r="L37">
        <f t="shared" ca="1" si="0"/>
        <v>0</v>
      </c>
      <c r="M37" t="str">
        <f t="shared" ca="1" si="1"/>
        <v>Medium</v>
      </c>
      <c r="N37">
        <f t="shared" ca="1" si="2"/>
        <v>4.2</v>
      </c>
      <c r="O37">
        <f t="shared" ca="1" si="3"/>
        <v>0</v>
      </c>
      <c r="P37">
        <f t="shared" ca="1" si="4"/>
        <v>0</v>
      </c>
    </row>
    <row r="38" spans="1:16" x14ac:dyDescent="0.3">
      <c r="A38" t="s">
        <v>97</v>
      </c>
      <c r="B38" t="s">
        <v>48</v>
      </c>
      <c r="C38" t="s">
        <v>25</v>
      </c>
      <c r="D38" t="s">
        <v>13</v>
      </c>
      <c r="E38" s="1">
        <v>45340</v>
      </c>
      <c r="F38">
        <v>91088.94</v>
      </c>
      <c r="G38">
        <v>16.64</v>
      </c>
      <c r="H38">
        <v>12</v>
      </c>
      <c r="I38" t="s">
        <v>14</v>
      </c>
      <c r="J38">
        <v>74693</v>
      </c>
      <c r="K38">
        <f t="shared" ca="1" si="5"/>
        <v>30</v>
      </c>
      <c r="L38">
        <f t="shared" ca="1" si="0"/>
        <v>0</v>
      </c>
      <c r="M38" t="str">
        <f t="shared" ca="1" si="1"/>
        <v>Medium</v>
      </c>
      <c r="N38">
        <f t="shared" ca="1" si="2"/>
        <v>0.60000000000000009</v>
      </c>
      <c r="O38">
        <f t="shared" ca="1" si="3"/>
        <v>0</v>
      </c>
      <c r="P38">
        <f t="shared" ca="1" si="4"/>
        <v>0</v>
      </c>
    </row>
    <row r="39" spans="1:16" x14ac:dyDescent="0.3">
      <c r="A39" t="s">
        <v>98</v>
      </c>
      <c r="B39" t="s">
        <v>99</v>
      </c>
      <c r="C39" t="s">
        <v>17</v>
      </c>
      <c r="D39" t="s">
        <v>22</v>
      </c>
      <c r="E39" s="1">
        <v>46116</v>
      </c>
      <c r="F39">
        <v>85479.28</v>
      </c>
      <c r="G39">
        <v>4.82</v>
      </c>
      <c r="H39">
        <v>180</v>
      </c>
      <c r="I39" t="s">
        <v>14</v>
      </c>
      <c r="J39">
        <v>76077</v>
      </c>
      <c r="K39">
        <f t="shared" ca="1" si="5"/>
        <v>90</v>
      </c>
      <c r="L39">
        <f t="shared" ca="1" si="0"/>
        <v>1</v>
      </c>
      <c r="M39" t="str">
        <f t="shared" ca="1" si="1"/>
        <v>High</v>
      </c>
      <c r="N39">
        <f t="shared" ca="1" si="2"/>
        <v>45</v>
      </c>
      <c r="O39">
        <f t="shared" ca="1" si="3"/>
        <v>25.2</v>
      </c>
      <c r="P39">
        <f t="shared" ca="1" si="4"/>
        <v>75221.766399999993</v>
      </c>
    </row>
    <row r="40" spans="1:16" x14ac:dyDescent="0.3">
      <c r="A40" t="s">
        <v>100</v>
      </c>
      <c r="B40" t="s">
        <v>101</v>
      </c>
      <c r="C40" t="s">
        <v>33</v>
      </c>
      <c r="D40" t="s">
        <v>75</v>
      </c>
      <c r="E40" s="1">
        <v>45849</v>
      </c>
      <c r="F40">
        <v>39889.03</v>
      </c>
      <c r="G40">
        <v>19.61</v>
      </c>
      <c r="H40">
        <v>84</v>
      </c>
      <c r="I40" t="s">
        <v>19</v>
      </c>
      <c r="J40">
        <v>0</v>
      </c>
      <c r="K40">
        <f t="shared" ca="1" si="5"/>
        <v>0</v>
      </c>
      <c r="L40">
        <f t="shared" ca="1" si="0"/>
        <v>0</v>
      </c>
      <c r="M40" t="str">
        <f t="shared" ca="1" si="1"/>
        <v>Low</v>
      </c>
      <c r="N40">
        <f t="shared" ca="1" si="2"/>
        <v>0.84</v>
      </c>
      <c r="O40">
        <f t="shared" ca="1" si="3"/>
        <v>0</v>
      </c>
      <c r="P40">
        <f t="shared" ca="1" si="4"/>
        <v>47467.945700000004</v>
      </c>
    </row>
    <row r="41" spans="1:16" x14ac:dyDescent="0.3">
      <c r="A41" t="s">
        <v>102</v>
      </c>
      <c r="B41" t="s">
        <v>103</v>
      </c>
      <c r="C41" t="s">
        <v>51</v>
      </c>
      <c r="D41" t="s">
        <v>13</v>
      </c>
      <c r="E41" s="1">
        <v>45489</v>
      </c>
      <c r="F41">
        <v>22105.43</v>
      </c>
      <c r="G41">
        <v>7.27</v>
      </c>
      <c r="H41">
        <v>36</v>
      </c>
      <c r="I41" t="s">
        <v>14</v>
      </c>
      <c r="J41">
        <v>16358</v>
      </c>
      <c r="K41">
        <f t="shared" ca="1" si="5"/>
        <v>30</v>
      </c>
      <c r="L41">
        <f t="shared" ca="1" si="0"/>
        <v>0</v>
      </c>
      <c r="M41" t="str">
        <f t="shared" ca="1" si="1"/>
        <v>Medium</v>
      </c>
      <c r="N41">
        <f t="shared" ca="1" si="2"/>
        <v>1.8</v>
      </c>
      <c r="O41">
        <f t="shared" ca="1" si="3"/>
        <v>0</v>
      </c>
      <c r="P41">
        <f t="shared" ca="1" si="4"/>
        <v>0</v>
      </c>
    </row>
    <row r="42" spans="1:16" x14ac:dyDescent="0.3">
      <c r="A42" t="s">
        <v>104</v>
      </c>
      <c r="B42" t="s">
        <v>16</v>
      </c>
      <c r="C42" t="s">
        <v>12</v>
      </c>
      <c r="D42" t="s">
        <v>18</v>
      </c>
      <c r="E42" s="1">
        <v>45841</v>
      </c>
      <c r="F42">
        <v>35991.08</v>
      </c>
      <c r="G42">
        <v>9.82</v>
      </c>
      <c r="H42">
        <v>48</v>
      </c>
      <c r="I42" t="s">
        <v>27</v>
      </c>
      <c r="J42">
        <v>0</v>
      </c>
      <c r="K42">
        <f t="shared" ca="1" si="5"/>
        <v>15</v>
      </c>
      <c r="L42">
        <f t="shared" ca="1" si="0"/>
        <v>0</v>
      </c>
      <c r="M42" t="str">
        <f t="shared" ca="1" si="1"/>
        <v>Low</v>
      </c>
      <c r="N42">
        <f t="shared" ca="1" si="2"/>
        <v>0.48</v>
      </c>
      <c r="O42">
        <f t="shared" ca="1" si="3"/>
        <v>0</v>
      </c>
      <c r="P42">
        <f t="shared" ca="1" si="4"/>
        <v>0</v>
      </c>
    </row>
    <row r="43" spans="1:16" x14ac:dyDescent="0.3">
      <c r="A43" t="s">
        <v>105</v>
      </c>
      <c r="B43" t="s">
        <v>53</v>
      </c>
      <c r="C43" t="s">
        <v>25</v>
      </c>
      <c r="D43" t="s">
        <v>30</v>
      </c>
      <c r="E43" s="1">
        <v>45387</v>
      </c>
      <c r="F43">
        <v>13007.45</v>
      </c>
      <c r="G43">
        <v>5.53</v>
      </c>
      <c r="H43">
        <v>72</v>
      </c>
      <c r="I43" t="s">
        <v>14</v>
      </c>
      <c r="J43">
        <v>7284</v>
      </c>
      <c r="K43">
        <f t="shared" ca="1" si="5"/>
        <v>60</v>
      </c>
      <c r="L43">
        <f t="shared" ca="1" si="0"/>
        <v>0</v>
      </c>
      <c r="M43" t="str">
        <f t="shared" ca="1" si="1"/>
        <v>Medium</v>
      </c>
      <c r="N43">
        <f t="shared" ca="1" si="2"/>
        <v>7.2</v>
      </c>
      <c r="O43">
        <f t="shared" ca="1" si="3"/>
        <v>0</v>
      </c>
      <c r="P43">
        <f t="shared" ca="1" si="4"/>
        <v>0</v>
      </c>
    </row>
    <row r="44" spans="1:16" x14ac:dyDescent="0.3">
      <c r="A44" t="s">
        <v>106</v>
      </c>
      <c r="B44" t="s">
        <v>107</v>
      </c>
      <c r="C44" t="s">
        <v>25</v>
      </c>
      <c r="D44" t="s">
        <v>22</v>
      </c>
      <c r="E44" s="1">
        <v>46133</v>
      </c>
      <c r="F44">
        <v>17796.54</v>
      </c>
      <c r="G44">
        <v>9.3000000000000007</v>
      </c>
      <c r="H44">
        <v>120</v>
      </c>
      <c r="I44" t="s">
        <v>19</v>
      </c>
      <c r="J44">
        <v>0</v>
      </c>
      <c r="K44">
        <f t="shared" ca="1" si="5"/>
        <v>0</v>
      </c>
      <c r="L44">
        <f t="shared" ca="1" si="0"/>
        <v>0</v>
      </c>
      <c r="M44" t="str">
        <f t="shared" ca="1" si="1"/>
        <v>Low</v>
      </c>
      <c r="N44">
        <f t="shared" ca="1" si="2"/>
        <v>1.2</v>
      </c>
      <c r="O44">
        <f t="shared" ca="1" si="3"/>
        <v>0</v>
      </c>
      <c r="P44">
        <f t="shared" ca="1" si="4"/>
        <v>20466.021000000001</v>
      </c>
    </row>
    <row r="45" spans="1:16" x14ac:dyDescent="0.3">
      <c r="A45" t="s">
        <v>108</v>
      </c>
      <c r="B45" t="s">
        <v>109</v>
      </c>
      <c r="C45" t="s">
        <v>12</v>
      </c>
      <c r="D45" t="s">
        <v>75</v>
      </c>
      <c r="E45" s="1">
        <v>45687</v>
      </c>
      <c r="F45">
        <v>72373.41</v>
      </c>
      <c r="G45">
        <v>10.029999999999999</v>
      </c>
      <c r="H45">
        <v>48</v>
      </c>
      <c r="I45" t="s">
        <v>14</v>
      </c>
      <c r="J45">
        <v>31121</v>
      </c>
      <c r="K45">
        <f t="shared" ca="1" si="5"/>
        <v>90</v>
      </c>
      <c r="L45">
        <f t="shared" ca="1" si="0"/>
        <v>1</v>
      </c>
      <c r="M45" t="str">
        <f t="shared" ca="1" si="1"/>
        <v>High</v>
      </c>
      <c r="N45">
        <f t="shared" ca="1" si="2"/>
        <v>12</v>
      </c>
      <c r="O45">
        <f t="shared" ca="1" si="3"/>
        <v>6.24</v>
      </c>
      <c r="P45">
        <f t="shared" ca="1" si="4"/>
        <v>65859.803100000005</v>
      </c>
    </row>
    <row r="46" spans="1:16" x14ac:dyDescent="0.3">
      <c r="A46" t="s">
        <v>110</v>
      </c>
      <c r="B46" t="s">
        <v>29</v>
      </c>
      <c r="C46" t="s">
        <v>36</v>
      </c>
      <c r="D46" t="s">
        <v>75</v>
      </c>
      <c r="E46" s="1">
        <v>45335</v>
      </c>
      <c r="F46">
        <v>94020.08</v>
      </c>
      <c r="G46">
        <v>19.77</v>
      </c>
      <c r="H46">
        <v>72</v>
      </c>
      <c r="I46" t="s">
        <v>19</v>
      </c>
      <c r="J46">
        <v>0</v>
      </c>
      <c r="K46">
        <f t="shared" ca="1" si="5"/>
        <v>0</v>
      </c>
      <c r="L46">
        <f t="shared" ca="1" si="0"/>
        <v>0</v>
      </c>
      <c r="M46" t="str">
        <f t="shared" ca="1" si="1"/>
        <v>Low</v>
      </c>
      <c r="N46">
        <f t="shared" ca="1" si="2"/>
        <v>0.72</v>
      </c>
      <c r="O46">
        <f t="shared" ca="1" si="3"/>
        <v>0</v>
      </c>
      <c r="P46">
        <f t="shared" ca="1" si="4"/>
        <v>120345.70240000001</v>
      </c>
    </row>
    <row r="47" spans="1:16" x14ac:dyDescent="0.3">
      <c r="A47" t="s">
        <v>111</v>
      </c>
      <c r="B47" t="s">
        <v>112</v>
      </c>
      <c r="C47" t="s">
        <v>51</v>
      </c>
      <c r="D47" t="s">
        <v>22</v>
      </c>
      <c r="E47" s="1">
        <v>45352</v>
      </c>
      <c r="F47">
        <v>34694.15</v>
      </c>
      <c r="G47">
        <v>16.12</v>
      </c>
      <c r="H47">
        <v>24</v>
      </c>
      <c r="I47" t="s">
        <v>14</v>
      </c>
      <c r="J47">
        <v>29837</v>
      </c>
      <c r="K47">
        <f t="shared" ca="1" si="5"/>
        <v>30</v>
      </c>
      <c r="L47">
        <f t="shared" ca="1" si="0"/>
        <v>0</v>
      </c>
      <c r="M47" t="str">
        <f t="shared" ca="1" si="1"/>
        <v>Medium</v>
      </c>
      <c r="N47">
        <f t="shared" ca="1" si="2"/>
        <v>1.2000000000000002</v>
      </c>
      <c r="O47">
        <f t="shared" ca="1" si="3"/>
        <v>0</v>
      </c>
      <c r="P47">
        <f t="shared" ca="1" si="4"/>
        <v>40592.155500000001</v>
      </c>
    </row>
    <row r="48" spans="1:16" x14ac:dyDescent="0.3">
      <c r="A48" t="s">
        <v>113</v>
      </c>
      <c r="B48" t="s">
        <v>114</v>
      </c>
      <c r="C48" t="s">
        <v>54</v>
      </c>
      <c r="D48" t="s">
        <v>75</v>
      </c>
      <c r="E48" s="1">
        <v>46115</v>
      </c>
      <c r="F48">
        <v>79991.55</v>
      </c>
      <c r="G48">
        <v>14.74</v>
      </c>
      <c r="H48">
        <v>60</v>
      </c>
      <c r="I48" t="s">
        <v>14</v>
      </c>
      <c r="J48">
        <v>40796</v>
      </c>
      <c r="K48">
        <f t="shared" ca="1" si="5"/>
        <v>15</v>
      </c>
      <c r="L48">
        <f t="shared" ca="1" si="0"/>
        <v>0</v>
      </c>
      <c r="M48" t="str">
        <f t="shared" ca="1" si="1"/>
        <v>Low</v>
      </c>
      <c r="N48">
        <f t="shared" ca="1" si="2"/>
        <v>0.6</v>
      </c>
      <c r="O48">
        <f t="shared" ca="1" si="3"/>
        <v>0</v>
      </c>
      <c r="P48">
        <f t="shared" ca="1" si="4"/>
        <v>101589.26849999999</v>
      </c>
    </row>
    <row r="49" spans="1:16" x14ac:dyDescent="0.3">
      <c r="A49" t="s">
        <v>115</v>
      </c>
      <c r="B49" t="s">
        <v>116</v>
      </c>
      <c r="C49" t="s">
        <v>39</v>
      </c>
      <c r="D49" t="s">
        <v>22</v>
      </c>
      <c r="E49" s="1">
        <v>45818</v>
      </c>
      <c r="F49">
        <v>70656.72</v>
      </c>
      <c r="G49">
        <v>11.43</v>
      </c>
      <c r="H49">
        <v>12</v>
      </c>
      <c r="I49" t="s">
        <v>14</v>
      </c>
      <c r="J49">
        <v>36741</v>
      </c>
      <c r="K49">
        <f t="shared" ca="1" si="5"/>
        <v>15</v>
      </c>
      <c r="L49">
        <f t="shared" ca="1" si="0"/>
        <v>0</v>
      </c>
      <c r="M49" t="str">
        <f t="shared" ca="1" si="1"/>
        <v>Low</v>
      </c>
      <c r="N49">
        <f t="shared" ca="1" si="2"/>
        <v>0.12</v>
      </c>
      <c r="O49">
        <f t="shared" ca="1" si="3"/>
        <v>0</v>
      </c>
      <c r="P49">
        <f t="shared" ca="1" si="4"/>
        <v>58645.077599999997</v>
      </c>
    </row>
    <row r="50" spans="1:16" x14ac:dyDescent="0.3">
      <c r="A50" t="s">
        <v>117</v>
      </c>
      <c r="B50" t="s">
        <v>96</v>
      </c>
      <c r="C50" t="s">
        <v>12</v>
      </c>
      <c r="D50" t="s">
        <v>75</v>
      </c>
      <c r="E50" s="1">
        <v>45455</v>
      </c>
      <c r="F50">
        <v>91961.68</v>
      </c>
      <c r="G50">
        <v>5.28</v>
      </c>
      <c r="H50">
        <v>36</v>
      </c>
      <c r="I50" t="s">
        <v>14</v>
      </c>
      <c r="J50">
        <v>34026</v>
      </c>
      <c r="K50">
        <f t="shared" ca="1" si="5"/>
        <v>90</v>
      </c>
      <c r="L50">
        <f t="shared" ca="1" si="0"/>
        <v>1</v>
      </c>
      <c r="M50" t="str">
        <f t="shared" ca="1" si="1"/>
        <v>High</v>
      </c>
      <c r="N50">
        <f t="shared" ca="1" si="2"/>
        <v>9</v>
      </c>
      <c r="O50">
        <f t="shared" ca="1" si="3"/>
        <v>1.8</v>
      </c>
      <c r="P50">
        <f t="shared" ca="1" si="4"/>
        <v>68971.259999999995</v>
      </c>
    </row>
    <row r="51" spans="1:16" x14ac:dyDescent="0.3">
      <c r="A51" t="s">
        <v>118</v>
      </c>
      <c r="B51" t="s">
        <v>119</v>
      </c>
      <c r="C51" t="s">
        <v>36</v>
      </c>
      <c r="D51" t="s">
        <v>22</v>
      </c>
      <c r="E51" s="1">
        <v>45692</v>
      </c>
      <c r="F51">
        <v>13355.77</v>
      </c>
      <c r="G51">
        <v>5.41</v>
      </c>
      <c r="H51">
        <v>60</v>
      </c>
      <c r="I51" t="s">
        <v>19</v>
      </c>
      <c r="J51">
        <v>0</v>
      </c>
      <c r="K51">
        <f t="shared" ca="1" si="5"/>
        <v>0</v>
      </c>
      <c r="L51">
        <f t="shared" ca="1" si="0"/>
        <v>0</v>
      </c>
      <c r="M51" t="str">
        <f t="shared" ca="1" si="1"/>
        <v>Low</v>
      </c>
      <c r="N51">
        <f t="shared" ca="1" si="2"/>
        <v>0.6</v>
      </c>
      <c r="O51">
        <f t="shared" ca="1" si="3"/>
        <v>0</v>
      </c>
      <c r="P51">
        <f t="shared" ca="1" si="4"/>
        <v>15626.250900000001</v>
      </c>
    </row>
    <row r="52" spans="1:16" x14ac:dyDescent="0.3">
      <c r="A52" t="s">
        <v>120</v>
      </c>
      <c r="B52" t="s">
        <v>59</v>
      </c>
      <c r="C52" t="s">
        <v>12</v>
      </c>
      <c r="D52" t="s">
        <v>30</v>
      </c>
      <c r="E52" s="1">
        <v>45445</v>
      </c>
      <c r="F52">
        <v>26472.27</v>
      </c>
      <c r="G52">
        <v>6.83</v>
      </c>
      <c r="H52">
        <v>36</v>
      </c>
      <c r="I52" t="s">
        <v>14</v>
      </c>
      <c r="J52">
        <v>20119</v>
      </c>
      <c r="K52">
        <f t="shared" ca="1" si="5"/>
        <v>0</v>
      </c>
      <c r="L52">
        <f t="shared" ca="1" si="0"/>
        <v>0</v>
      </c>
      <c r="M52" t="str">
        <f t="shared" ca="1" si="1"/>
        <v>Low</v>
      </c>
      <c r="N52">
        <f t="shared" ca="1" si="2"/>
        <v>0.36</v>
      </c>
      <c r="O52">
        <f t="shared" ca="1" si="3"/>
        <v>0</v>
      </c>
      <c r="P52">
        <f t="shared" ca="1" si="4"/>
        <v>0</v>
      </c>
    </row>
    <row r="53" spans="1:16" x14ac:dyDescent="0.3">
      <c r="A53" t="s">
        <v>121</v>
      </c>
      <c r="B53" t="s">
        <v>122</v>
      </c>
      <c r="C53" t="s">
        <v>123</v>
      </c>
      <c r="D53" t="s">
        <v>26</v>
      </c>
      <c r="E53" s="1">
        <v>45351</v>
      </c>
      <c r="F53">
        <v>27534.16</v>
      </c>
      <c r="G53">
        <v>15.36</v>
      </c>
      <c r="H53">
        <v>240</v>
      </c>
      <c r="I53" t="s">
        <v>14</v>
      </c>
      <c r="J53">
        <v>12115</v>
      </c>
      <c r="K53">
        <f t="shared" ca="1" si="5"/>
        <v>15</v>
      </c>
      <c r="L53">
        <f t="shared" ca="1" si="0"/>
        <v>0</v>
      </c>
      <c r="M53" t="str">
        <f t="shared" ca="1" si="1"/>
        <v>Low</v>
      </c>
      <c r="N53">
        <f t="shared" ca="1" si="2"/>
        <v>2.4</v>
      </c>
      <c r="O53">
        <f t="shared" ca="1" si="3"/>
        <v>0</v>
      </c>
      <c r="P53">
        <f t="shared" ca="1" si="4"/>
        <v>33316.333599999998</v>
      </c>
    </row>
    <row r="54" spans="1:16" x14ac:dyDescent="0.3">
      <c r="A54" t="s">
        <v>124</v>
      </c>
      <c r="B54" t="s">
        <v>125</v>
      </c>
      <c r="C54" t="s">
        <v>39</v>
      </c>
      <c r="D54" t="s">
        <v>22</v>
      </c>
      <c r="E54" s="1">
        <v>45851</v>
      </c>
      <c r="F54">
        <v>81071.100000000006</v>
      </c>
      <c r="G54">
        <v>5.81</v>
      </c>
      <c r="H54">
        <v>240</v>
      </c>
      <c r="I54" t="s">
        <v>14</v>
      </c>
      <c r="J54">
        <v>71343</v>
      </c>
      <c r="K54">
        <f t="shared" ca="1" si="5"/>
        <v>0</v>
      </c>
      <c r="L54">
        <f t="shared" ca="1" si="0"/>
        <v>0</v>
      </c>
      <c r="M54" t="str">
        <f t="shared" ca="1" si="1"/>
        <v>Low</v>
      </c>
      <c r="N54">
        <f t="shared" ca="1" si="2"/>
        <v>2.4</v>
      </c>
      <c r="O54">
        <f t="shared" ca="1" si="3"/>
        <v>0</v>
      </c>
      <c r="P54">
        <f t="shared" ca="1" si="4"/>
        <v>73774.701000000001</v>
      </c>
    </row>
    <row r="55" spans="1:16" x14ac:dyDescent="0.3">
      <c r="A55" t="s">
        <v>126</v>
      </c>
      <c r="B55" t="s">
        <v>84</v>
      </c>
      <c r="C55" t="s">
        <v>123</v>
      </c>
      <c r="D55" t="s">
        <v>13</v>
      </c>
      <c r="E55" s="1">
        <v>45914</v>
      </c>
      <c r="F55">
        <v>81096.42</v>
      </c>
      <c r="G55">
        <v>4.2300000000000004</v>
      </c>
      <c r="H55">
        <v>84</v>
      </c>
      <c r="I55" t="s">
        <v>27</v>
      </c>
      <c r="J55">
        <v>0</v>
      </c>
      <c r="K55">
        <f t="shared" ca="1" si="5"/>
        <v>60</v>
      </c>
      <c r="L55">
        <f t="shared" ca="1" si="0"/>
        <v>0</v>
      </c>
      <c r="M55" t="str">
        <f t="shared" ca="1" si="1"/>
        <v>Medium</v>
      </c>
      <c r="N55">
        <f t="shared" ca="1" si="2"/>
        <v>8.4</v>
      </c>
      <c r="O55">
        <f t="shared" ca="1" si="3"/>
        <v>0</v>
      </c>
      <c r="P55">
        <f t="shared" ca="1" si="4"/>
        <v>0</v>
      </c>
    </row>
    <row r="56" spans="1:16" x14ac:dyDescent="0.3">
      <c r="A56" t="s">
        <v>127</v>
      </c>
      <c r="B56" t="s">
        <v>128</v>
      </c>
      <c r="C56" t="s">
        <v>70</v>
      </c>
      <c r="D56" t="s">
        <v>75</v>
      </c>
      <c r="E56" s="1">
        <v>45758</v>
      </c>
      <c r="F56">
        <v>2322.38</v>
      </c>
      <c r="G56">
        <v>15.92</v>
      </c>
      <c r="H56">
        <v>72</v>
      </c>
      <c r="I56" t="s">
        <v>14</v>
      </c>
      <c r="J56">
        <v>859</v>
      </c>
      <c r="K56">
        <f t="shared" ca="1" si="5"/>
        <v>45</v>
      </c>
      <c r="L56">
        <f t="shared" ca="1" si="0"/>
        <v>0</v>
      </c>
      <c r="M56" t="str">
        <f t="shared" ca="1" si="1"/>
        <v>Medium</v>
      </c>
      <c r="N56">
        <f t="shared" ca="1" si="2"/>
        <v>3.6</v>
      </c>
      <c r="O56">
        <f t="shared" ca="1" si="3"/>
        <v>0</v>
      </c>
      <c r="P56">
        <f t="shared" ca="1" si="4"/>
        <v>2786.8560000000002</v>
      </c>
    </row>
    <row r="57" spans="1:16" x14ac:dyDescent="0.3">
      <c r="A57" t="s">
        <v>129</v>
      </c>
      <c r="B57" t="s">
        <v>130</v>
      </c>
      <c r="C57" t="s">
        <v>51</v>
      </c>
      <c r="D57" t="s">
        <v>26</v>
      </c>
      <c r="E57" s="1">
        <v>45553</v>
      </c>
      <c r="F57">
        <v>98832.44</v>
      </c>
      <c r="G57">
        <v>4.25</v>
      </c>
      <c r="H57">
        <v>360</v>
      </c>
      <c r="I57" t="s">
        <v>14</v>
      </c>
      <c r="J57">
        <v>63253</v>
      </c>
      <c r="K57">
        <f t="shared" ca="1" si="5"/>
        <v>0</v>
      </c>
      <c r="L57">
        <f t="shared" ca="1" si="0"/>
        <v>0</v>
      </c>
      <c r="M57" t="str">
        <f t="shared" ca="1" si="1"/>
        <v>Low</v>
      </c>
      <c r="N57">
        <f t="shared" ca="1" si="2"/>
        <v>3.6</v>
      </c>
      <c r="O57">
        <f t="shared" ca="1" si="3"/>
        <v>0</v>
      </c>
      <c r="P57">
        <f t="shared" ca="1" si="4"/>
        <v>120575.5768</v>
      </c>
    </row>
    <row r="58" spans="1:16" x14ac:dyDescent="0.3">
      <c r="A58" t="s">
        <v>131</v>
      </c>
      <c r="B58" t="s">
        <v>132</v>
      </c>
      <c r="C58" t="s">
        <v>36</v>
      </c>
      <c r="D58" t="s">
        <v>75</v>
      </c>
      <c r="E58" s="1">
        <v>45540</v>
      </c>
      <c r="F58">
        <v>61929.279999999999</v>
      </c>
      <c r="G58">
        <v>7.19</v>
      </c>
      <c r="H58">
        <v>36</v>
      </c>
      <c r="I58" t="s">
        <v>14</v>
      </c>
      <c r="J58">
        <v>50782</v>
      </c>
      <c r="K58">
        <f t="shared" ca="1" si="5"/>
        <v>90</v>
      </c>
      <c r="L58">
        <f t="shared" ca="1" si="0"/>
        <v>1</v>
      </c>
      <c r="M58" t="str">
        <f t="shared" ca="1" si="1"/>
        <v>High</v>
      </c>
      <c r="N58">
        <f t="shared" ca="1" si="2"/>
        <v>9</v>
      </c>
      <c r="O58">
        <f t="shared" ca="1" si="3"/>
        <v>7.2</v>
      </c>
      <c r="P58">
        <f t="shared" ca="1" si="4"/>
        <v>68122.207999999999</v>
      </c>
    </row>
    <row r="59" spans="1:16" x14ac:dyDescent="0.3">
      <c r="A59" t="s">
        <v>133</v>
      </c>
      <c r="B59" t="s">
        <v>134</v>
      </c>
      <c r="C59" t="s">
        <v>12</v>
      </c>
      <c r="D59" t="s">
        <v>22</v>
      </c>
      <c r="E59" s="1">
        <v>45493</v>
      </c>
      <c r="F59">
        <v>59969.97</v>
      </c>
      <c r="G59">
        <v>4.82</v>
      </c>
      <c r="H59">
        <v>180</v>
      </c>
      <c r="I59" t="s">
        <v>27</v>
      </c>
      <c r="J59">
        <v>0</v>
      </c>
      <c r="K59">
        <f t="shared" ca="1" si="5"/>
        <v>90</v>
      </c>
      <c r="L59">
        <f t="shared" ca="1" si="0"/>
        <v>1</v>
      </c>
      <c r="M59" t="str">
        <f t="shared" ca="1" si="1"/>
        <v>High</v>
      </c>
      <c r="N59">
        <f t="shared" ca="1" si="2"/>
        <v>45</v>
      </c>
      <c r="O59">
        <f t="shared" ca="1" si="3"/>
        <v>36</v>
      </c>
      <c r="P59">
        <f t="shared" ca="1" si="4"/>
        <v>74362.762799999997</v>
      </c>
    </row>
    <row r="60" spans="1:16" x14ac:dyDescent="0.3">
      <c r="A60" t="s">
        <v>135</v>
      </c>
      <c r="B60" t="s">
        <v>136</v>
      </c>
      <c r="C60" t="s">
        <v>54</v>
      </c>
      <c r="D60" t="s">
        <v>13</v>
      </c>
      <c r="E60" s="1">
        <v>45681</v>
      </c>
      <c r="F60">
        <v>36284.76</v>
      </c>
      <c r="G60">
        <v>11.53</v>
      </c>
      <c r="H60">
        <v>360</v>
      </c>
      <c r="I60" t="s">
        <v>14</v>
      </c>
      <c r="J60">
        <v>26851</v>
      </c>
      <c r="K60">
        <f t="shared" ca="1" si="5"/>
        <v>120</v>
      </c>
      <c r="L60">
        <f t="shared" ca="1" si="0"/>
        <v>1</v>
      </c>
      <c r="M60" t="str">
        <f t="shared" ca="1" si="1"/>
        <v>High</v>
      </c>
      <c r="N60">
        <f t="shared" ca="1" si="2"/>
        <v>90</v>
      </c>
      <c r="O60">
        <f t="shared" ca="1" si="3"/>
        <v>21.6</v>
      </c>
      <c r="P60">
        <f t="shared" ca="1" si="4"/>
        <v>0</v>
      </c>
    </row>
    <row r="61" spans="1:16" x14ac:dyDescent="0.3">
      <c r="A61" t="s">
        <v>137</v>
      </c>
      <c r="B61" t="s">
        <v>138</v>
      </c>
      <c r="C61" t="s">
        <v>39</v>
      </c>
      <c r="D61" t="s">
        <v>75</v>
      </c>
      <c r="E61" s="1">
        <v>45921</v>
      </c>
      <c r="F61">
        <v>26084.5</v>
      </c>
      <c r="G61">
        <v>12.8</v>
      </c>
      <c r="H61">
        <v>60</v>
      </c>
      <c r="I61" t="s">
        <v>14</v>
      </c>
      <c r="J61">
        <v>10173</v>
      </c>
      <c r="K61">
        <f t="shared" ca="1" si="5"/>
        <v>0</v>
      </c>
      <c r="L61">
        <f t="shared" ca="1" si="0"/>
        <v>0</v>
      </c>
      <c r="M61" t="str">
        <f t="shared" ca="1" si="1"/>
        <v>Low</v>
      </c>
      <c r="N61">
        <f t="shared" ca="1" si="2"/>
        <v>0.6</v>
      </c>
      <c r="O61">
        <f t="shared" ca="1" si="3"/>
        <v>0</v>
      </c>
      <c r="P61">
        <f t="shared" ca="1" si="4"/>
        <v>22171.825000000001</v>
      </c>
    </row>
    <row r="62" spans="1:16" x14ac:dyDescent="0.3">
      <c r="A62" t="s">
        <v>139</v>
      </c>
      <c r="B62" t="s">
        <v>140</v>
      </c>
      <c r="C62" t="s">
        <v>33</v>
      </c>
      <c r="D62" t="s">
        <v>18</v>
      </c>
      <c r="E62" s="1">
        <v>46041</v>
      </c>
      <c r="F62">
        <v>55247.22</v>
      </c>
      <c r="G62">
        <v>21.13</v>
      </c>
      <c r="H62">
        <v>48</v>
      </c>
      <c r="I62" t="s">
        <v>19</v>
      </c>
      <c r="J62">
        <v>0</v>
      </c>
      <c r="K62">
        <f t="shared" ca="1" si="5"/>
        <v>0</v>
      </c>
      <c r="L62">
        <f t="shared" ca="1" si="0"/>
        <v>0</v>
      </c>
      <c r="M62" t="str">
        <f t="shared" ca="1" si="1"/>
        <v>Low</v>
      </c>
      <c r="N62">
        <f t="shared" ca="1" si="2"/>
        <v>0.48</v>
      </c>
      <c r="O62">
        <f t="shared" ca="1" si="3"/>
        <v>0</v>
      </c>
      <c r="P62">
        <f t="shared" ca="1" si="4"/>
        <v>0</v>
      </c>
    </row>
    <row r="63" spans="1:16" x14ac:dyDescent="0.3">
      <c r="A63" t="s">
        <v>141</v>
      </c>
      <c r="B63" t="s">
        <v>142</v>
      </c>
      <c r="C63" t="s">
        <v>25</v>
      </c>
      <c r="D63" t="s">
        <v>18</v>
      </c>
      <c r="E63" s="1">
        <v>45750</v>
      </c>
      <c r="F63">
        <v>84459.04</v>
      </c>
      <c r="G63">
        <v>15.51</v>
      </c>
      <c r="H63">
        <v>360</v>
      </c>
      <c r="I63" t="s">
        <v>14</v>
      </c>
      <c r="J63">
        <v>34628</v>
      </c>
      <c r="K63">
        <f t="shared" ca="1" si="5"/>
        <v>60</v>
      </c>
      <c r="L63">
        <f t="shared" ca="1" si="0"/>
        <v>0</v>
      </c>
      <c r="M63" t="str">
        <f t="shared" ca="1" si="1"/>
        <v>Medium</v>
      </c>
      <c r="N63">
        <f t="shared" ca="1" si="2"/>
        <v>36</v>
      </c>
      <c r="O63">
        <f t="shared" ca="1" si="3"/>
        <v>0</v>
      </c>
      <c r="P63">
        <f t="shared" ca="1" si="4"/>
        <v>0</v>
      </c>
    </row>
    <row r="64" spans="1:16" x14ac:dyDescent="0.3">
      <c r="A64" t="s">
        <v>143</v>
      </c>
      <c r="B64" t="s">
        <v>144</v>
      </c>
      <c r="C64" t="s">
        <v>25</v>
      </c>
      <c r="D64" t="s">
        <v>75</v>
      </c>
      <c r="E64" s="1">
        <v>45852</v>
      </c>
      <c r="F64">
        <v>26938.3</v>
      </c>
      <c r="G64">
        <v>16.440000000000001</v>
      </c>
      <c r="H64">
        <v>48</v>
      </c>
      <c r="I64" t="s">
        <v>27</v>
      </c>
      <c r="J64">
        <v>0</v>
      </c>
      <c r="K64">
        <f t="shared" ca="1" si="5"/>
        <v>30</v>
      </c>
      <c r="L64">
        <f t="shared" ca="1" si="0"/>
        <v>0</v>
      </c>
      <c r="M64" t="str">
        <f t="shared" ca="1" si="1"/>
        <v>Medium</v>
      </c>
      <c r="N64">
        <f t="shared" ca="1" si="2"/>
        <v>2.4000000000000004</v>
      </c>
      <c r="O64">
        <f t="shared" ca="1" si="3"/>
        <v>0</v>
      </c>
      <c r="P64">
        <f t="shared" ca="1" si="4"/>
        <v>23166.937999999998</v>
      </c>
    </row>
    <row r="65" spans="1:16" x14ac:dyDescent="0.3">
      <c r="A65" t="s">
        <v>145</v>
      </c>
      <c r="B65" t="s">
        <v>146</v>
      </c>
      <c r="C65" t="s">
        <v>51</v>
      </c>
      <c r="D65" t="s">
        <v>30</v>
      </c>
      <c r="E65" s="1">
        <v>46057</v>
      </c>
      <c r="F65">
        <v>87202.35</v>
      </c>
      <c r="G65">
        <v>20.76</v>
      </c>
      <c r="H65">
        <v>240</v>
      </c>
      <c r="I65" t="s">
        <v>14</v>
      </c>
      <c r="J65">
        <v>72378</v>
      </c>
      <c r="K65">
        <f t="shared" ca="1" si="5"/>
        <v>90</v>
      </c>
      <c r="L65">
        <f t="shared" ca="1" si="0"/>
        <v>1</v>
      </c>
      <c r="M65" t="str">
        <f t="shared" ca="1" si="1"/>
        <v>High</v>
      </c>
      <c r="N65">
        <f t="shared" ca="1" si="2"/>
        <v>60</v>
      </c>
      <c r="O65">
        <f t="shared" ca="1" si="3"/>
        <v>64.8</v>
      </c>
      <c r="P65">
        <f t="shared" ca="1" si="4"/>
        <v>0</v>
      </c>
    </row>
    <row r="66" spans="1:16" x14ac:dyDescent="0.3">
      <c r="A66" t="s">
        <v>147</v>
      </c>
      <c r="B66" t="s">
        <v>148</v>
      </c>
      <c r="C66" t="s">
        <v>70</v>
      </c>
      <c r="D66" t="s">
        <v>75</v>
      </c>
      <c r="E66" s="1">
        <v>45806</v>
      </c>
      <c r="F66">
        <v>62733.66</v>
      </c>
      <c r="G66">
        <v>4.18</v>
      </c>
      <c r="H66">
        <v>48</v>
      </c>
      <c r="I66" t="s">
        <v>19</v>
      </c>
      <c r="J66">
        <v>0</v>
      </c>
      <c r="K66">
        <f t="shared" ca="1" si="5"/>
        <v>0</v>
      </c>
      <c r="L66">
        <f t="shared" ca="1" si="0"/>
        <v>0</v>
      </c>
      <c r="M66" t="str">
        <f t="shared" ca="1" si="1"/>
        <v>Low</v>
      </c>
      <c r="N66">
        <f t="shared" ca="1" si="2"/>
        <v>0.48</v>
      </c>
      <c r="O66">
        <f t="shared" ca="1" si="3"/>
        <v>0</v>
      </c>
      <c r="P66">
        <f t="shared" ca="1" si="4"/>
        <v>47050.245000000003</v>
      </c>
    </row>
    <row r="67" spans="1:16" x14ac:dyDescent="0.3">
      <c r="A67" t="s">
        <v>149</v>
      </c>
      <c r="B67" t="s">
        <v>150</v>
      </c>
      <c r="C67" t="s">
        <v>123</v>
      </c>
      <c r="D67" t="s">
        <v>18</v>
      </c>
      <c r="E67" s="1">
        <v>46113</v>
      </c>
      <c r="F67">
        <v>51948.65</v>
      </c>
      <c r="G67">
        <v>4.47</v>
      </c>
      <c r="H67">
        <v>360</v>
      </c>
      <c r="I67" t="s">
        <v>14</v>
      </c>
      <c r="J67">
        <v>27533</v>
      </c>
      <c r="K67">
        <f t="shared" ref="K67:K130" ca="1" si="6">IF(I67="Paid Off",0,CHOOSE(RANDBETWEEN(1,10),0,0,0,0,15,30,45,60,90,120))</f>
        <v>120</v>
      </c>
      <c r="L67">
        <f t="shared" ref="L67:L130" ca="1" si="7">IF(K67&gt;=90,1,0)</f>
        <v>1</v>
      </c>
      <c r="M67" t="str">
        <f t="shared" ref="M67:M130" ca="1" si="8">IF(K67&gt;=90,"High",IF(K67&gt;=30,"Medium","Low"))</f>
        <v>High</v>
      </c>
      <c r="N67">
        <f t="shared" ref="N67:N130" ca="1" si="9">IF(L67=1,H67*0.25,IF(K67&gt;=60,H67*0.1,IF(K67&gt;=30,H67*0.05,H67*0.01)))</f>
        <v>90</v>
      </c>
      <c r="O67">
        <f t="shared" ref="O67:O130" ca="1" si="10">IF(L67=1,H67*RANDBETWEEN(5,30)/100,0)</f>
        <v>21.6</v>
      </c>
      <c r="P67">
        <f t="shared" ref="P67:P130" ca="1" si="11">IF(OR(D67="P02",D67="P03",D67="P05"),F67*RANDBETWEEN(70,130)/100,0)</f>
        <v>0</v>
      </c>
    </row>
    <row r="68" spans="1:16" x14ac:dyDescent="0.3">
      <c r="A68" t="s">
        <v>151</v>
      </c>
      <c r="B68" t="s">
        <v>152</v>
      </c>
      <c r="C68" t="s">
        <v>54</v>
      </c>
      <c r="D68" t="s">
        <v>18</v>
      </c>
      <c r="E68" s="1">
        <v>46166</v>
      </c>
      <c r="F68">
        <v>21246.12</v>
      </c>
      <c r="G68">
        <v>8.4</v>
      </c>
      <c r="H68">
        <v>84</v>
      </c>
      <c r="I68" t="s">
        <v>14</v>
      </c>
      <c r="J68">
        <v>8711</v>
      </c>
      <c r="K68">
        <f t="shared" ca="1" si="6"/>
        <v>60</v>
      </c>
      <c r="L68">
        <f t="shared" ca="1" si="7"/>
        <v>0</v>
      </c>
      <c r="M68" t="str">
        <f t="shared" ca="1" si="8"/>
        <v>Medium</v>
      </c>
      <c r="N68">
        <f t="shared" ca="1" si="9"/>
        <v>8.4</v>
      </c>
      <c r="O68">
        <f t="shared" ca="1" si="10"/>
        <v>0</v>
      </c>
      <c r="P68">
        <f t="shared" ca="1" si="11"/>
        <v>0</v>
      </c>
    </row>
    <row r="69" spans="1:16" x14ac:dyDescent="0.3">
      <c r="A69" t="s">
        <v>153</v>
      </c>
      <c r="B69" t="s">
        <v>154</v>
      </c>
      <c r="C69" t="s">
        <v>33</v>
      </c>
      <c r="D69" t="s">
        <v>13</v>
      </c>
      <c r="E69" s="1">
        <v>45376</v>
      </c>
      <c r="F69">
        <v>18136.259999999998</v>
      </c>
      <c r="G69">
        <v>12.78</v>
      </c>
      <c r="H69">
        <v>48</v>
      </c>
      <c r="I69" t="s">
        <v>14</v>
      </c>
      <c r="J69">
        <v>15234</v>
      </c>
      <c r="K69">
        <f t="shared" ca="1" si="6"/>
        <v>90</v>
      </c>
      <c r="L69">
        <f t="shared" ca="1" si="7"/>
        <v>1</v>
      </c>
      <c r="M69" t="str">
        <f t="shared" ca="1" si="8"/>
        <v>High</v>
      </c>
      <c r="N69">
        <f t="shared" ca="1" si="9"/>
        <v>12</v>
      </c>
      <c r="O69">
        <f t="shared" ca="1" si="10"/>
        <v>5.76</v>
      </c>
      <c r="P69">
        <f t="shared" ca="1" si="11"/>
        <v>0</v>
      </c>
    </row>
    <row r="70" spans="1:16" x14ac:dyDescent="0.3">
      <c r="A70" t="s">
        <v>155</v>
      </c>
      <c r="B70" t="s">
        <v>119</v>
      </c>
      <c r="C70" t="s">
        <v>51</v>
      </c>
      <c r="D70" t="s">
        <v>13</v>
      </c>
      <c r="E70" s="1">
        <v>45614</v>
      </c>
      <c r="F70">
        <v>79143.990000000005</v>
      </c>
      <c r="G70">
        <v>10.76</v>
      </c>
      <c r="H70">
        <v>360</v>
      </c>
      <c r="I70" t="s">
        <v>27</v>
      </c>
      <c r="J70">
        <v>0</v>
      </c>
      <c r="K70">
        <f t="shared" ca="1" si="6"/>
        <v>45</v>
      </c>
      <c r="L70">
        <f t="shared" ca="1" si="7"/>
        <v>0</v>
      </c>
      <c r="M70" t="str">
        <f t="shared" ca="1" si="8"/>
        <v>Medium</v>
      </c>
      <c r="N70">
        <f t="shared" ca="1" si="9"/>
        <v>18</v>
      </c>
      <c r="O70">
        <f t="shared" ca="1" si="10"/>
        <v>0</v>
      </c>
      <c r="P70">
        <f t="shared" ca="1" si="11"/>
        <v>0</v>
      </c>
    </row>
    <row r="71" spans="1:16" x14ac:dyDescent="0.3">
      <c r="A71" t="s">
        <v>156</v>
      </c>
      <c r="B71" t="s">
        <v>157</v>
      </c>
      <c r="C71" t="s">
        <v>12</v>
      </c>
      <c r="D71" t="s">
        <v>13</v>
      </c>
      <c r="E71" s="1">
        <v>45926</v>
      </c>
      <c r="F71">
        <v>52903.87</v>
      </c>
      <c r="G71">
        <v>17.28</v>
      </c>
      <c r="H71">
        <v>120</v>
      </c>
      <c r="I71" t="s">
        <v>14</v>
      </c>
      <c r="J71">
        <v>29626</v>
      </c>
      <c r="K71">
        <f t="shared" ca="1" si="6"/>
        <v>60</v>
      </c>
      <c r="L71">
        <f t="shared" ca="1" si="7"/>
        <v>0</v>
      </c>
      <c r="M71" t="str">
        <f t="shared" ca="1" si="8"/>
        <v>Medium</v>
      </c>
      <c r="N71">
        <f t="shared" ca="1" si="9"/>
        <v>12</v>
      </c>
      <c r="O71">
        <f t="shared" ca="1" si="10"/>
        <v>0</v>
      </c>
      <c r="P71">
        <f t="shared" ca="1" si="11"/>
        <v>0</v>
      </c>
    </row>
    <row r="72" spans="1:16" x14ac:dyDescent="0.3">
      <c r="A72" t="s">
        <v>158</v>
      </c>
      <c r="B72" t="s">
        <v>159</v>
      </c>
      <c r="C72" t="s">
        <v>51</v>
      </c>
      <c r="D72" t="s">
        <v>75</v>
      </c>
      <c r="E72" s="1">
        <v>45905</v>
      </c>
      <c r="F72">
        <v>50907.44</v>
      </c>
      <c r="G72">
        <v>13.08</v>
      </c>
      <c r="H72">
        <v>180</v>
      </c>
      <c r="I72" t="s">
        <v>27</v>
      </c>
      <c r="J72">
        <v>0</v>
      </c>
      <c r="K72">
        <f t="shared" ca="1" si="6"/>
        <v>45</v>
      </c>
      <c r="L72">
        <f t="shared" ca="1" si="7"/>
        <v>0</v>
      </c>
      <c r="M72" t="str">
        <f t="shared" ca="1" si="8"/>
        <v>Medium</v>
      </c>
      <c r="N72">
        <f t="shared" ca="1" si="9"/>
        <v>9</v>
      </c>
      <c r="O72">
        <f t="shared" ca="1" si="10"/>
        <v>0</v>
      </c>
      <c r="P72">
        <f t="shared" ca="1" si="11"/>
        <v>63125.225600000005</v>
      </c>
    </row>
    <row r="73" spans="1:16" x14ac:dyDescent="0.3">
      <c r="A73" t="s">
        <v>160</v>
      </c>
      <c r="B73" t="s">
        <v>50</v>
      </c>
      <c r="C73" t="s">
        <v>25</v>
      </c>
      <c r="D73" t="s">
        <v>26</v>
      </c>
      <c r="E73" s="1">
        <v>45353</v>
      </c>
      <c r="F73">
        <v>20702.849999999999</v>
      </c>
      <c r="G73">
        <v>9.1199999999999992</v>
      </c>
      <c r="H73">
        <v>360</v>
      </c>
      <c r="I73" t="s">
        <v>14</v>
      </c>
      <c r="J73">
        <v>18219</v>
      </c>
      <c r="K73">
        <f t="shared" ca="1" si="6"/>
        <v>15</v>
      </c>
      <c r="L73">
        <f t="shared" ca="1" si="7"/>
        <v>0</v>
      </c>
      <c r="M73" t="str">
        <f t="shared" ca="1" si="8"/>
        <v>Low</v>
      </c>
      <c r="N73">
        <f t="shared" ca="1" si="9"/>
        <v>3.6</v>
      </c>
      <c r="O73">
        <f t="shared" ca="1" si="10"/>
        <v>0</v>
      </c>
      <c r="P73">
        <f t="shared" ca="1" si="11"/>
        <v>21323.9355</v>
      </c>
    </row>
    <row r="74" spans="1:16" x14ac:dyDescent="0.3">
      <c r="A74" t="s">
        <v>161</v>
      </c>
      <c r="B74" t="s">
        <v>162</v>
      </c>
      <c r="C74" t="s">
        <v>17</v>
      </c>
      <c r="D74" t="s">
        <v>30</v>
      </c>
      <c r="E74" s="1">
        <v>45862</v>
      </c>
      <c r="F74">
        <v>39648.81</v>
      </c>
      <c r="G74">
        <v>17.97</v>
      </c>
      <c r="H74">
        <v>36</v>
      </c>
      <c r="I74" t="s">
        <v>14</v>
      </c>
      <c r="J74">
        <v>16653</v>
      </c>
      <c r="K74">
        <f t="shared" ca="1" si="6"/>
        <v>0</v>
      </c>
      <c r="L74">
        <f t="shared" ca="1" si="7"/>
        <v>0</v>
      </c>
      <c r="M74" t="str">
        <f t="shared" ca="1" si="8"/>
        <v>Low</v>
      </c>
      <c r="N74">
        <f t="shared" ca="1" si="9"/>
        <v>0.36</v>
      </c>
      <c r="O74">
        <f t="shared" ca="1" si="10"/>
        <v>0</v>
      </c>
      <c r="P74">
        <f t="shared" ca="1" si="11"/>
        <v>0</v>
      </c>
    </row>
    <row r="75" spans="1:16" x14ac:dyDescent="0.3">
      <c r="A75" t="s">
        <v>163</v>
      </c>
      <c r="B75" t="s">
        <v>164</v>
      </c>
      <c r="C75" t="s">
        <v>51</v>
      </c>
      <c r="D75" t="s">
        <v>30</v>
      </c>
      <c r="E75" s="1">
        <v>45900</v>
      </c>
      <c r="F75">
        <v>48872.77</v>
      </c>
      <c r="G75">
        <v>12.17</v>
      </c>
      <c r="H75">
        <v>120</v>
      </c>
      <c r="I75" t="s">
        <v>27</v>
      </c>
      <c r="J75">
        <v>0</v>
      </c>
      <c r="K75">
        <f t="shared" ca="1" si="6"/>
        <v>0</v>
      </c>
      <c r="L75">
        <f t="shared" ca="1" si="7"/>
        <v>0</v>
      </c>
      <c r="M75" t="str">
        <f t="shared" ca="1" si="8"/>
        <v>Low</v>
      </c>
      <c r="N75">
        <f t="shared" ca="1" si="9"/>
        <v>1.2</v>
      </c>
      <c r="O75">
        <f t="shared" ca="1" si="10"/>
        <v>0</v>
      </c>
      <c r="P75">
        <f t="shared" ca="1" si="11"/>
        <v>0</v>
      </c>
    </row>
    <row r="76" spans="1:16" x14ac:dyDescent="0.3">
      <c r="A76" t="s">
        <v>165</v>
      </c>
      <c r="B76" t="s">
        <v>166</v>
      </c>
      <c r="C76" t="s">
        <v>70</v>
      </c>
      <c r="D76" t="s">
        <v>18</v>
      </c>
      <c r="E76" s="1">
        <v>46103</v>
      </c>
      <c r="F76">
        <v>16373.1</v>
      </c>
      <c r="G76">
        <v>18.27</v>
      </c>
      <c r="H76">
        <v>12</v>
      </c>
      <c r="I76" t="s">
        <v>14</v>
      </c>
      <c r="J76">
        <v>10315</v>
      </c>
      <c r="K76">
        <f t="shared" ca="1" si="6"/>
        <v>15</v>
      </c>
      <c r="L76">
        <f t="shared" ca="1" si="7"/>
        <v>0</v>
      </c>
      <c r="M76" t="str">
        <f t="shared" ca="1" si="8"/>
        <v>Low</v>
      </c>
      <c r="N76">
        <f t="shared" ca="1" si="9"/>
        <v>0.12</v>
      </c>
      <c r="O76">
        <f t="shared" ca="1" si="10"/>
        <v>0</v>
      </c>
      <c r="P76">
        <f t="shared" ca="1" si="11"/>
        <v>0</v>
      </c>
    </row>
    <row r="77" spans="1:16" x14ac:dyDescent="0.3">
      <c r="A77" t="s">
        <v>167</v>
      </c>
      <c r="B77" t="s">
        <v>168</v>
      </c>
      <c r="C77" t="s">
        <v>70</v>
      </c>
      <c r="D77" t="s">
        <v>13</v>
      </c>
      <c r="E77" s="1">
        <v>46164</v>
      </c>
      <c r="F77">
        <v>94186.95</v>
      </c>
      <c r="G77">
        <v>5.36</v>
      </c>
      <c r="H77">
        <v>12</v>
      </c>
      <c r="I77" t="s">
        <v>14</v>
      </c>
      <c r="J77">
        <v>79117</v>
      </c>
      <c r="K77">
        <f t="shared" ca="1" si="6"/>
        <v>0</v>
      </c>
      <c r="L77">
        <f t="shared" ca="1" si="7"/>
        <v>0</v>
      </c>
      <c r="M77" t="str">
        <f t="shared" ca="1" si="8"/>
        <v>Low</v>
      </c>
      <c r="N77">
        <f t="shared" ca="1" si="9"/>
        <v>0.12</v>
      </c>
      <c r="O77">
        <f t="shared" ca="1" si="10"/>
        <v>0</v>
      </c>
      <c r="P77">
        <f t="shared" ca="1" si="11"/>
        <v>0</v>
      </c>
    </row>
    <row r="78" spans="1:16" x14ac:dyDescent="0.3">
      <c r="A78" t="s">
        <v>169</v>
      </c>
      <c r="B78" t="s">
        <v>170</v>
      </c>
      <c r="C78" t="s">
        <v>54</v>
      </c>
      <c r="D78" t="s">
        <v>13</v>
      </c>
      <c r="E78" s="1">
        <v>45387</v>
      </c>
      <c r="F78">
        <v>95402.1</v>
      </c>
      <c r="G78">
        <v>11.55</v>
      </c>
      <c r="H78">
        <v>72</v>
      </c>
      <c r="I78" t="s">
        <v>27</v>
      </c>
      <c r="J78">
        <v>0</v>
      </c>
      <c r="K78">
        <f t="shared" ca="1" si="6"/>
        <v>15</v>
      </c>
      <c r="L78">
        <f t="shared" ca="1" si="7"/>
        <v>0</v>
      </c>
      <c r="M78" t="str">
        <f t="shared" ca="1" si="8"/>
        <v>Low</v>
      </c>
      <c r="N78">
        <f t="shared" ca="1" si="9"/>
        <v>0.72</v>
      </c>
      <c r="O78">
        <f t="shared" ca="1" si="10"/>
        <v>0</v>
      </c>
      <c r="P78">
        <f t="shared" ca="1" si="11"/>
        <v>0</v>
      </c>
    </row>
    <row r="79" spans="1:16" x14ac:dyDescent="0.3">
      <c r="A79" t="s">
        <v>171</v>
      </c>
      <c r="B79" t="s">
        <v>172</v>
      </c>
      <c r="C79" t="s">
        <v>70</v>
      </c>
      <c r="D79" t="s">
        <v>22</v>
      </c>
      <c r="E79" s="1">
        <v>45700</v>
      </c>
      <c r="F79">
        <v>91181.71</v>
      </c>
      <c r="G79">
        <v>21.63</v>
      </c>
      <c r="H79">
        <v>360</v>
      </c>
      <c r="I79" t="s">
        <v>27</v>
      </c>
      <c r="J79">
        <v>0</v>
      </c>
      <c r="K79">
        <f t="shared" ca="1" si="6"/>
        <v>0</v>
      </c>
      <c r="L79">
        <f t="shared" ca="1" si="7"/>
        <v>0</v>
      </c>
      <c r="M79" t="str">
        <f t="shared" ca="1" si="8"/>
        <v>Low</v>
      </c>
      <c r="N79">
        <f t="shared" ca="1" si="9"/>
        <v>3.6</v>
      </c>
      <c r="O79">
        <f t="shared" ca="1" si="10"/>
        <v>0</v>
      </c>
      <c r="P79">
        <f t="shared" ca="1" si="11"/>
        <v>68386.282500000016</v>
      </c>
    </row>
    <row r="80" spans="1:16" x14ac:dyDescent="0.3">
      <c r="A80" t="s">
        <v>173</v>
      </c>
      <c r="B80" t="s">
        <v>174</v>
      </c>
      <c r="C80" t="s">
        <v>33</v>
      </c>
      <c r="D80" t="s">
        <v>18</v>
      </c>
      <c r="E80" s="1">
        <v>46101</v>
      </c>
      <c r="F80">
        <v>20818.88</v>
      </c>
      <c r="G80">
        <v>8.59</v>
      </c>
      <c r="H80">
        <v>60</v>
      </c>
      <c r="I80" t="s">
        <v>14</v>
      </c>
      <c r="J80">
        <v>15406</v>
      </c>
      <c r="K80">
        <f t="shared" ca="1" si="6"/>
        <v>0</v>
      </c>
      <c r="L80">
        <f t="shared" ca="1" si="7"/>
        <v>0</v>
      </c>
      <c r="M80" t="str">
        <f t="shared" ca="1" si="8"/>
        <v>Low</v>
      </c>
      <c r="N80">
        <f t="shared" ca="1" si="9"/>
        <v>0.6</v>
      </c>
      <c r="O80">
        <f t="shared" ca="1" si="10"/>
        <v>0</v>
      </c>
      <c r="P80">
        <f t="shared" ca="1" si="11"/>
        <v>0</v>
      </c>
    </row>
    <row r="81" spans="1:16" x14ac:dyDescent="0.3">
      <c r="A81" t="s">
        <v>175</v>
      </c>
      <c r="B81" t="s">
        <v>176</v>
      </c>
      <c r="C81" t="s">
        <v>70</v>
      </c>
      <c r="D81" t="s">
        <v>75</v>
      </c>
      <c r="E81" s="1">
        <v>45882</v>
      </c>
      <c r="F81">
        <v>79885.78</v>
      </c>
      <c r="G81">
        <v>12.97</v>
      </c>
      <c r="H81">
        <v>48</v>
      </c>
      <c r="I81" t="s">
        <v>14</v>
      </c>
      <c r="J81">
        <v>55121</v>
      </c>
      <c r="K81">
        <f t="shared" ca="1" si="6"/>
        <v>0</v>
      </c>
      <c r="L81">
        <f t="shared" ca="1" si="7"/>
        <v>0</v>
      </c>
      <c r="M81" t="str">
        <f t="shared" ca="1" si="8"/>
        <v>Low</v>
      </c>
      <c r="N81">
        <f t="shared" ca="1" si="9"/>
        <v>0.48</v>
      </c>
      <c r="O81">
        <f t="shared" ca="1" si="10"/>
        <v>0</v>
      </c>
      <c r="P81">
        <f t="shared" ca="1" si="11"/>
        <v>86276.642399999997</v>
      </c>
    </row>
    <row r="82" spans="1:16" x14ac:dyDescent="0.3">
      <c r="A82" t="s">
        <v>177</v>
      </c>
      <c r="B82" t="s">
        <v>32</v>
      </c>
      <c r="C82" t="s">
        <v>51</v>
      </c>
      <c r="D82" t="s">
        <v>18</v>
      </c>
      <c r="E82" s="1">
        <v>45788</v>
      </c>
      <c r="F82">
        <v>90494.58</v>
      </c>
      <c r="G82">
        <v>4.26</v>
      </c>
      <c r="H82">
        <v>180</v>
      </c>
      <c r="I82" t="s">
        <v>27</v>
      </c>
      <c r="J82">
        <v>0</v>
      </c>
      <c r="K82">
        <f t="shared" ca="1" si="6"/>
        <v>0</v>
      </c>
      <c r="L82">
        <f t="shared" ca="1" si="7"/>
        <v>0</v>
      </c>
      <c r="M82" t="str">
        <f t="shared" ca="1" si="8"/>
        <v>Low</v>
      </c>
      <c r="N82">
        <f t="shared" ca="1" si="9"/>
        <v>1.8</v>
      </c>
      <c r="O82">
        <f t="shared" ca="1" si="10"/>
        <v>0</v>
      </c>
      <c r="P82">
        <f t="shared" ca="1" si="11"/>
        <v>0</v>
      </c>
    </row>
    <row r="83" spans="1:16" x14ac:dyDescent="0.3">
      <c r="A83" t="s">
        <v>178</v>
      </c>
      <c r="B83" t="s">
        <v>179</v>
      </c>
      <c r="C83" t="s">
        <v>51</v>
      </c>
      <c r="D83" t="s">
        <v>13</v>
      </c>
      <c r="E83" s="1">
        <v>46125</v>
      </c>
      <c r="F83">
        <v>53966.16</v>
      </c>
      <c r="G83">
        <v>19.649999999999999</v>
      </c>
      <c r="H83">
        <v>24</v>
      </c>
      <c r="I83" t="s">
        <v>14</v>
      </c>
      <c r="J83">
        <v>36157</v>
      </c>
      <c r="K83">
        <f t="shared" ca="1" si="6"/>
        <v>90</v>
      </c>
      <c r="L83">
        <f t="shared" ca="1" si="7"/>
        <v>1</v>
      </c>
      <c r="M83" t="str">
        <f t="shared" ca="1" si="8"/>
        <v>High</v>
      </c>
      <c r="N83">
        <f t="shared" ca="1" si="9"/>
        <v>6</v>
      </c>
      <c r="O83">
        <f t="shared" ca="1" si="10"/>
        <v>2.16</v>
      </c>
      <c r="P83">
        <f t="shared" ca="1" si="11"/>
        <v>0</v>
      </c>
    </row>
    <row r="84" spans="1:16" x14ac:dyDescent="0.3">
      <c r="A84" t="s">
        <v>180</v>
      </c>
      <c r="B84" t="s">
        <v>181</v>
      </c>
      <c r="C84" t="s">
        <v>54</v>
      </c>
      <c r="D84" t="s">
        <v>26</v>
      </c>
      <c r="E84" s="1">
        <v>45312</v>
      </c>
      <c r="F84">
        <v>1656.38</v>
      </c>
      <c r="G84">
        <v>11.49</v>
      </c>
      <c r="H84">
        <v>180</v>
      </c>
      <c r="I84" t="s">
        <v>14</v>
      </c>
      <c r="J84">
        <v>729</v>
      </c>
      <c r="K84">
        <f t="shared" ca="1" si="6"/>
        <v>60</v>
      </c>
      <c r="L84">
        <f t="shared" ca="1" si="7"/>
        <v>0</v>
      </c>
      <c r="M84" t="str">
        <f t="shared" ca="1" si="8"/>
        <v>Medium</v>
      </c>
      <c r="N84">
        <f t="shared" ca="1" si="9"/>
        <v>18</v>
      </c>
      <c r="O84">
        <f t="shared" ca="1" si="10"/>
        <v>0</v>
      </c>
      <c r="P84">
        <f t="shared" ca="1" si="11"/>
        <v>1937.9646000000002</v>
      </c>
    </row>
    <row r="85" spans="1:16" x14ac:dyDescent="0.3">
      <c r="A85" t="s">
        <v>182</v>
      </c>
      <c r="B85" t="s">
        <v>183</v>
      </c>
      <c r="C85" t="s">
        <v>39</v>
      </c>
      <c r="D85" t="s">
        <v>75</v>
      </c>
      <c r="E85" s="1">
        <v>45408</v>
      </c>
      <c r="F85">
        <v>99619.21</v>
      </c>
      <c r="G85">
        <v>14.51</v>
      </c>
      <c r="H85">
        <v>84</v>
      </c>
      <c r="I85" t="s">
        <v>14</v>
      </c>
      <c r="J85">
        <v>56783</v>
      </c>
      <c r="K85">
        <f t="shared" ca="1" si="6"/>
        <v>45</v>
      </c>
      <c r="L85">
        <f t="shared" ca="1" si="7"/>
        <v>0</v>
      </c>
      <c r="M85" t="str">
        <f t="shared" ca="1" si="8"/>
        <v>Medium</v>
      </c>
      <c r="N85">
        <f t="shared" ca="1" si="9"/>
        <v>4.2</v>
      </c>
      <c r="O85">
        <f t="shared" ca="1" si="10"/>
        <v>0</v>
      </c>
      <c r="P85">
        <f t="shared" ca="1" si="11"/>
        <v>109581.13100000001</v>
      </c>
    </row>
    <row r="86" spans="1:16" x14ac:dyDescent="0.3">
      <c r="A86" t="s">
        <v>184</v>
      </c>
      <c r="B86" t="s">
        <v>185</v>
      </c>
      <c r="C86" t="s">
        <v>17</v>
      </c>
      <c r="D86" t="s">
        <v>75</v>
      </c>
      <c r="E86" s="1">
        <v>46151</v>
      </c>
      <c r="F86">
        <v>58679.72</v>
      </c>
      <c r="G86">
        <v>17.899999999999999</v>
      </c>
      <c r="H86">
        <v>360</v>
      </c>
      <c r="I86" t="s">
        <v>14</v>
      </c>
      <c r="J86">
        <v>51638</v>
      </c>
      <c r="K86">
        <f t="shared" ca="1" si="6"/>
        <v>0</v>
      </c>
      <c r="L86">
        <f t="shared" ca="1" si="7"/>
        <v>0</v>
      </c>
      <c r="M86" t="str">
        <f t="shared" ca="1" si="8"/>
        <v>Low</v>
      </c>
      <c r="N86">
        <f t="shared" ca="1" si="9"/>
        <v>3.6</v>
      </c>
      <c r="O86">
        <f t="shared" ca="1" si="10"/>
        <v>0</v>
      </c>
      <c r="P86">
        <f t="shared" ca="1" si="11"/>
        <v>68655.272400000002</v>
      </c>
    </row>
    <row r="87" spans="1:16" x14ac:dyDescent="0.3">
      <c r="A87" t="s">
        <v>186</v>
      </c>
      <c r="B87" t="s">
        <v>187</v>
      </c>
      <c r="C87" t="s">
        <v>51</v>
      </c>
      <c r="D87" t="s">
        <v>26</v>
      </c>
      <c r="E87" s="1">
        <v>45765</v>
      </c>
      <c r="F87">
        <v>30162.11</v>
      </c>
      <c r="G87">
        <v>13.56</v>
      </c>
      <c r="H87">
        <v>72</v>
      </c>
      <c r="I87" t="s">
        <v>14</v>
      </c>
      <c r="J87">
        <v>10557</v>
      </c>
      <c r="K87">
        <f t="shared" ca="1" si="6"/>
        <v>0</v>
      </c>
      <c r="L87">
        <f t="shared" ca="1" si="7"/>
        <v>0</v>
      </c>
      <c r="M87" t="str">
        <f t="shared" ca="1" si="8"/>
        <v>Low</v>
      </c>
      <c r="N87">
        <f t="shared" ca="1" si="9"/>
        <v>0.72</v>
      </c>
      <c r="O87">
        <f t="shared" ca="1" si="10"/>
        <v>0</v>
      </c>
      <c r="P87">
        <f t="shared" ca="1" si="11"/>
        <v>32575.078799999999</v>
      </c>
    </row>
    <row r="88" spans="1:16" x14ac:dyDescent="0.3">
      <c r="A88" t="s">
        <v>188</v>
      </c>
      <c r="B88" t="s">
        <v>114</v>
      </c>
      <c r="C88" t="s">
        <v>36</v>
      </c>
      <c r="D88" t="s">
        <v>26</v>
      </c>
      <c r="E88" s="1">
        <v>45804</v>
      </c>
      <c r="F88">
        <v>77175.820000000007</v>
      </c>
      <c r="G88">
        <v>7.69</v>
      </c>
      <c r="H88">
        <v>36</v>
      </c>
      <c r="I88" t="s">
        <v>14</v>
      </c>
      <c r="J88">
        <v>60197</v>
      </c>
      <c r="K88">
        <f t="shared" ca="1" si="6"/>
        <v>0</v>
      </c>
      <c r="L88">
        <f t="shared" ca="1" si="7"/>
        <v>0</v>
      </c>
      <c r="M88" t="str">
        <f t="shared" ca="1" si="8"/>
        <v>Low</v>
      </c>
      <c r="N88">
        <f t="shared" ca="1" si="9"/>
        <v>0.36</v>
      </c>
      <c r="O88">
        <f t="shared" ca="1" si="10"/>
        <v>0</v>
      </c>
      <c r="P88">
        <f t="shared" ca="1" si="11"/>
        <v>90295.709400000007</v>
      </c>
    </row>
    <row r="89" spans="1:16" x14ac:dyDescent="0.3">
      <c r="A89" t="s">
        <v>189</v>
      </c>
      <c r="B89" t="s">
        <v>190</v>
      </c>
      <c r="C89" t="s">
        <v>54</v>
      </c>
      <c r="D89" t="s">
        <v>30</v>
      </c>
      <c r="E89" s="1">
        <v>45515</v>
      </c>
      <c r="F89">
        <v>35051.26</v>
      </c>
      <c r="G89">
        <v>14.8</v>
      </c>
      <c r="H89">
        <v>60</v>
      </c>
      <c r="I89" t="s">
        <v>19</v>
      </c>
      <c r="J89">
        <v>0</v>
      </c>
      <c r="K89">
        <f t="shared" ca="1" si="6"/>
        <v>0</v>
      </c>
      <c r="L89">
        <f t="shared" ca="1" si="7"/>
        <v>0</v>
      </c>
      <c r="M89" t="str">
        <f t="shared" ca="1" si="8"/>
        <v>Low</v>
      </c>
      <c r="N89">
        <f t="shared" ca="1" si="9"/>
        <v>0.6</v>
      </c>
      <c r="O89">
        <f t="shared" ca="1" si="10"/>
        <v>0</v>
      </c>
      <c r="P89">
        <f t="shared" ca="1" si="11"/>
        <v>0</v>
      </c>
    </row>
    <row r="90" spans="1:16" x14ac:dyDescent="0.3">
      <c r="A90" t="s">
        <v>191</v>
      </c>
      <c r="B90" t="s">
        <v>192</v>
      </c>
      <c r="C90" t="s">
        <v>39</v>
      </c>
      <c r="D90" t="s">
        <v>26</v>
      </c>
      <c r="E90" s="1">
        <v>45874</v>
      </c>
      <c r="F90">
        <v>1513</v>
      </c>
      <c r="G90">
        <v>18.5</v>
      </c>
      <c r="H90">
        <v>12</v>
      </c>
      <c r="I90" t="s">
        <v>27</v>
      </c>
      <c r="J90">
        <v>0</v>
      </c>
      <c r="K90">
        <f t="shared" ca="1" si="6"/>
        <v>60</v>
      </c>
      <c r="L90">
        <f t="shared" ca="1" si="7"/>
        <v>0</v>
      </c>
      <c r="M90" t="str">
        <f t="shared" ca="1" si="8"/>
        <v>Medium</v>
      </c>
      <c r="N90">
        <f t="shared" ca="1" si="9"/>
        <v>1.2000000000000002</v>
      </c>
      <c r="O90">
        <f t="shared" ca="1" si="10"/>
        <v>0</v>
      </c>
      <c r="P90">
        <f t="shared" ca="1" si="11"/>
        <v>1059.0999999999999</v>
      </c>
    </row>
    <row r="91" spans="1:16" x14ac:dyDescent="0.3">
      <c r="A91" t="s">
        <v>193</v>
      </c>
      <c r="B91" t="s">
        <v>16</v>
      </c>
      <c r="C91" t="s">
        <v>39</v>
      </c>
      <c r="D91" t="s">
        <v>26</v>
      </c>
      <c r="E91" s="1">
        <v>45921</v>
      </c>
      <c r="F91">
        <v>24710.3</v>
      </c>
      <c r="G91">
        <v>7.02</v>
      </c>
      <c r="H91">
        <v>36</v>
      </c>
      <c r="I91" t="s">
        <v>27</v>
      </c>
      <c r="J91">
        <v>0</v>
      </c>
      <c r="K91">
        <f t="shared" ca="1" si="6"/>
        <v>0</v>
      </c>
      <c r="L91">
        <f t="shared" ca="1" si="7"/>
        <v>0</v>
      </c>
      <c r="M91" t="str">
        <f t="shared" ca="1" si="8"/>
        <v>Low</v>
      </c>
      <c r="N91">
        <f t="shared" ca="1" si="9"/>
        <v>0.36</v>
      </c>
      <c r="O91">
        <f t="shared" ca="1" si="10"/>
        <v>0</v>
      </c>
      <c r="P91">
        <f t="shared" ca="1" si="11"/>
        <v>22980.578999999998</v>
      </c>
    </row>
    <row r="92" spans="1:16" x14ac:dyDescent="0.3">
      <c r="A92" t="s">
        <v>194</v>
      </c>
      <c r="B92" t="s">
        <v>195</v>
      </c>
      <c r="C92" t="s">
        <v>123</v>
      </c>
      <c r="D92" t="s">
        <v>18</v>
      </c>
      <c r="E92" s="1">
        <v>45365</v>
      </c>
      <c r="F92">
        <v>61356.35</v>
      </c>
      <c r="G92">
        <v>9.2200000000000006</v>
      </c>
      <c r="H92">
        <v>180</v>
      </c>
      <c r="I92" t="s">
        <v>14</v>
      </c>
      <c r="J92">
        <v>25770</v>
      </c>
      <c r="K92">
        <f t="shared" ca="1" si="6"/>
        <v>30</v>
      </c>
      <c r="L92">
        <f t="shared" ca="1" si="7"/>
        <v>0</v>
      </c>
      <c r="M92" t="str">
        <f t="shared" ca="1" si="8"/>
        <v>Medium</v>
      </c>
      <c r="N92">
        <f t="shared" ca="1" si="9"/>
        <v>9</v>
      </c>
      <c r="O92">
        <f t="shared" ca="1" si="10"/>
        <v>0</v>
      </c>
      <c r="P92">
        <f t="shared" ca="1" si="11"/>
        <v>0</v>
      </c>
    </row>
    <row r="93" spans="1:16" x14ac:dyDescent="0.3">
      <c r="A93" t="s">
        <v>196</v>
      </c>
      <c r="B93" t="s">
        <v>78</v>
      </c>
      <c r="C93" t="s">
        <v>33</v>
      </c>
      <c r="D93" t="s">
        <v>30</v>
      </c>
      <c r="E93" s="1">
        <v>45375</v>
      </c>
      <c r="F93">
        <v>72823.94</v>
      </c>
      <c r="G93">
        <v>19.98</v>
      </c>
      <c r="H93">
        <v>84</v>
      </c>
      <c r="I93" t="s">
        <v>27</v>
      </c>
      <c r="J93">
        <v>0</v>
      </c>
      <c r="K93">
        <f t="shared" ca="1" si="6"/>
        <v>15</v>
      </c>
      <c r="L93">
        <f t="shared" ca="1" si="7"/>
        <v>0</v>
      </c>
      <c r="M93" t="str">
        <f t="shared" ca="1" si="8"/>
        <v>Low</v>
      </c>
      <c r="N93">
        <f t="shared" ca="1" si="9"/>
        <v>0.84</v>
      </c>
      <c r="O93">
        <f t="shared" ca="1" si="10"/>
        <v>0</v>
      </c>
      <c r="P93">
        <f t="shared" ca="1" si="11"/>
        <v>0</v>
      </c>
    </row>
    <row r="94" spans="1:16" x14ac:dyDescent="0.3">
      <c r="A94" t="s">
        <v>197</v>
      </c>
      <c r="B94" t="s">
        <v>198</v>
      </c>
      <c r="C94" t="s">
        <v>54</v>
      </c>
      <c r="D94" t="s">
        <v>13</v>
      </c>
      <c r="E94" s="1">
        <v>45623</v>
      </c>
      <c r="F94">
        <v>58715.43</v>
      </c>
      <c r="G94">
        <v>12.59</v>
      </c>
      <c r="H94">
        <v>84</v>
      </c>
      <c r="I94" t="s">
        <v>14</v>
      </c>
      <c r="J94">
        <v>50495</v>
      </c>
      <c r="K94">
        <f t="shared" ca="1" si="6"/>
        <v>30</v>
      </c>
      <c r="L94">
        <f t="shared" ca="1" si="7"/>
        <v>0</v>
      </c>
      <c r="M94" t="str">
        <f t="shared" ca="1" si="8"/>
        <v>Medium</v>
      </c>
      <c r="N94">
        <f t="shared" ca="1" si="9"/>
        <v>4.2</v>
      </c>
      <c r="O94">
        <f t="shared" ca="1" si="10"/>
        <v>0</v>
      </c>
      <c r="P94">
        <f t="shared" ca="1" si="11"/>
        <v>0</v>
      </c>
    </row>
    <row r="95" spans="1:16" x14ac:dyDescent="0.3">
      <c r="A95" t="s">
        <v>199</v>
      </c>
      <c r="B95" t="s">
        <v>200</v>
      </c>
      <c r="C95" t="s">
        <v>36</v>
      </c>
      <c r="D95" t="s">
        <v>26</v>
      </c>
      <c r="E95" s="1">
        <v>46111</v>
      </c>
      <c r="F95">
        <v>95579.48</v>
      </c>
      <c r="G95">
        <v>10.75</v>
      </c>
      <c r="H95">
        <v>12</v>
      </c>
      <c r="I95" t="s">
        <v>14</v>
      </c>
      <c r="J95">
        <v>64994</v>
      </c>
      <c r="K95">
        <f t="shared" ca="1" si="6"/>
        <v>0</v>
      </c>
      <c r="L95">
        <f t="shared" ca="1" si="7"/>
        <v>0</v>
      </c>
      <c r="M95" t="str">
        <f t="shared" ca="1" si="8"/>
        <v>Low</v>
      </c>
      <c r="N95">
        <f t="shared" ca="1" si="9"/>
        <v>0.12</v>
      </c>
      <c r="O95">
        <f t="shared" ca="1" si="10"/>
        <v>0</v>
      </c>
      <c r="P95">
        <f t="shared" ca="1" si="11"/>
        <v>74551.994399999996</v>
      </c>
    </row>
    <row r="96" spans="1:16" x14ac:dyDescent="0.3">
      <c r="A96" t="s">
        <v>201</v>
      </c>
      <c r="B96" t="s">
        <v>202</v>
      </c>
      <c r="C96" t="s">
        <v>54</v>
      </c>
      <c r="D96" t="s">
        <v>22</v>
      </c>
      <c r="E96" s="1">
        <v>45563</v>
      </c>
      <c r="F96">
        <v>97072.03</v>
      </c>
      <c r="G96">
        <v>17.690000000000001</v>
      </c>
      <c r="H96">
        <v>48</v>
      </c>
      <c r="I96" t="s">
        <v>27</v>
      </c>
      <c r="J96">
        <v>0</v>
      </c>
      <c r="K96">
        <f t="shared" ca="1" si="6"/>
        <v>0</v>
      </c>
      <c r="L96">
        <f t="shared" ca="1" si="7"/>
        <v>0</v>
      </c>
      <c r="M96" t="str">
        <f t="shared" ca="1" si="8"/>
        <v>Low</v>
      </c>
      <c r="N96">
        <f t="shared" ca="1" si="9"/>
        <v>0.48</v>
      </c>
      <c r="O96">
        <f t="shared" ca="1" si="10"/>
        <v>0</v>
      </c>
      <c r="P96">
        <f t="shared" ca="1" si="11"/>
        <v>104837.79240000001</v>
      </c>
    </row>
    <row r="97" spans="1:16" x14ac:dyDescent="0.3">
      <c r="A97" t="s">
        <v>203</v>
      </c>
      <c r="B97" t="s">
        <v>204</v>
      </c>
      <c r="C97" t="s">
        <v>70</v>
      </c>
      <c r="D97" t="s">
        <v>18</v>
      </c>
      <c r="E97" s="1">
        <v>45595</v>
      </c>
      <c r="F97">
        <v>8734.9</v>
      </c>
      <c r="G97">
        <v>6.1</v>
      </c>
      <c r="H97">
        <v>84</v>
      </c>
      <c r="I97" t="s">
        <v>14</v>
      </c>
      <c r="J97">
        <v>4804</v>
      </c>
      <c r="K97">
        <f t="shared" ca="1" si="6"/>
        <v>60</v>
      </c>
      <c r="L97">
        <f t="shared" ca="1" si="7"/>
        <v>0</v>
      </c>
      <c r="M97" t="str">
        <f t="shared" ca="1" si="8"/>
        <v>Medium</v>
      </c>
      <c r="N97">
        <f t="shared" ca="1" si="9"/>
        <v>8.4</v>
      </c>
      <c r="O97">
        <f t="shared" ca="1" si="10"/>
        <v>0</v>
      </c>
      <c r="P97">
        <f t="shared" ca="1" si="11"/>
        <v>0</v>
      </c>
    </row>
    <row r="98" spans="1:16" x14ac:dyDescent="0.3">
      <c r="A98" t="s">
        <v>205</v>
      </c>
      <c r="B98" t="s">
        <v>206</v>
      </c>
      <c r="C98" t="s">
        <v>17</v>
      </c>
      <c r="D98" t="s">
        <v>30</v>
      </c>
      <c r="E98" s="1">
        <v>46149</v>
      </c>
      <c r="F98">
        <v>81121.039999999994</v>
      </c>
      <c r="G98">
        <v>8.6199999999999992</v>
      </c>
      <c r="H98">
        <v>24</v>
      </c>
      <c r="I98" t="s">
        <v>14</v>
      </c>
      <c r="J98">
        <v>48673</v>
      </c>
      <c r="K98">
        <f t="shared" ca="1" si="6"/>
        <v>45</v>
      </c>
      <c r="L98">
        <f t="shared" ca="1" si="7"/>
        <v>0</v>
      </c>
      <c r="M98" t="str">
        <f t="shared" ca="1" si="8"/>
        <v>Medium</v>
      </c>
      <c r="N98">
        <f t="shared" ca="1" si="9"/>
        <v>1.2000000000000002</v>
      </c>
      <c r="O98">
        <f t="shared" ca="1" si="10"/>
        <v>0</v>
      </c>
      <c r="P98">
        <f t="shared" ca="1" si="11"/>
        <v>0</v>
      </c>
    </row>
    <row r="99" spans="1:16" x14ac:dyDescent="0.3">
      <c r="A99" t="s">
        <v>207</v>
      </c>
      <c r="B99" t="s">
        <v>208</v>
      </c>
      <c r="C99" t="s">
        <v>70</v>
      </c>
      <c r="D99" t="s">
        <v>26</v>
      </c>
      <c r="E99" s="1">
        <v>45678</v>
      </c>
      <c r="F99">
        <v>75150.710000000006</v>
      </c>
      <c r="G99">
        <v>12.62</v>
      </c>
      <c r="H99">
        <v>120</v>
      </c>
      <c r="I99" t="s">
        <v>19</v>
      </c>
      <c r="J99">
        <v>0</v>
      </c>
      <c r="K99">
        <f t="shared" ca="1" si="6"/>
        <v>0</v>
      </c>
      <c r="L99">
        <f t="shared" ca="1" si="7"/>
        <v>0</v>
      </c>
      <c r="M99" t="str">
        <f t="shared" ca="1" si="8"/>
        <v>Low</v>
      </c>
      <c r="N99">
        <f t="shared" ca="1" si="9"/>
        <v>1.2</v>
      </c>
      <c r="O99">
        <f t="shared" ca="1" si="10"/>
        <v>0</v>
      </c>
      <c r="P99">
        <f t="shared" ca="1" si="11"/>
        <v>55611.525399999999</v>
      </c>
    </row>
    <row r="100" spans="1:16" x14ac:dyDescent="0.3">
      <c r="A100" t="s">
        <v>209</v>
      </c>
      <c r="B100" t="s">
        <v>210</v>
      </c>
      <c r="C100" t="s">
        <v>36</v>
      </c>
      <c r="D100" t="s">
        <v>30</v>
      </c>
      <c r="E100" s="1">
        <v>45399</v>
      </c>
      <c r="F100">
        <v>90036.75</v>
      </c>
      <c r="G100">
        <v>15.82</v>
      </c>
      <c r="H100">
        <v>180</v>
      </c>
      <c r="I100" t="s">
        <v>14</v>
      </c>
      <c r="J100">
        <v>58524</v>
      </c>
      <c r="K100">
        <f t="shared" ca="1" si="6"/>
        <v>60</v>
      </c>
      <c r="L100">
        <f t="shared" ca="1" si="7"/>
        <v>0</v>
      </c>
      <c r="M100" t="str">
        <f t="shared" ca="1" si="8"/>
        <v>Medium</v>
      </c>
      <c r="N100">
        <f t="shared" ca="1" si="9"/>
        <v>18</v>
      </c>
      <c r="O100">
        <f t="shared" ca="1" si="10"/>
        <v>0</v>
      </c>
      <c r="P100">
        <f t="shared" ca="1" si="11"/>
        <v>0</v>
      </c>
    </row>
    <row r="101" spans="1:16" x14ac:dyDescent="0.3">
      <c r="A101" t="s">
        <v>211</v>
      </c>
      <c r="B101" t="s">
        <v>212</v>
      </c>
      <c r="C101" t="s">
        <v>39</v>
      </c>
      <c r="D101" t="s">
        <v>13</v>
      </c>
      <c r="E101" s="1">
        <v>45913</v>
      </c>
      <c r="F101">
        <v>89410.97</v>
      </c>
      <c r="G101">
        <v>4.29</v>
      </c>
      <c r="H101">
        <v>12</v>
      </c>
      <c r="I101" t="s">
        <v>14</v>
      </c>
      <c r="J101">
        <v>73317</v>
      </c>
      <c r="K101">
        <f t="shared" ca="1" si="6"/>
        <v>45</v>
      </c>
      <c r="L101">
        <f t="shared" ca="1" si="7"/>
        <v>0</v>
      </c>
      <c r="M101" t="str">
        <f t="shared" ca="1" si="8"/>
        <v>Medium</v>
      </c>
      <c r="N101">
        <f t="shared" ca="1" si="9"/>
        <v>0.60000000000000009</v>
      </c>
      <c r="O101">
        <f t="shared" ca="1" si="10"/>
        <v>0</v>
      </c>
      <c r="P101">
        <f t="shared" ca="1" si="11"/>
        <v>0</v>
      </c>
    </row>
    <row r="102" spans="1:16" x14ac:dyDescent="0.3">
      <c r="A102" t="s">
        <v>213</v>
      </c>
      <c r="B102" t="s">
        <v>214</v>
      </c>
      <c r="C102" t="s">
        <v>36</v>
      </c>
      <c r="D102" t="s">
        <v>30</v>
      </c>
      <c r="E102" s="1">
        <v>45950</v>
      </c>
      <c r="F102">
        <v>19707.22</v>
      </c>
      <c r="G102">
        <v>20.98</v>
      </c>
      <c r="H102">
        <v>180</v>
      </c>
      <c r="I102" t="s">
        <v>27</v>
      </c>
      <c r="J102">
        <v>0</v>
      </c>
      <c r="K102">
        <f t="shared" ca="1" si="6"/>
        <v>15</v>
      </c>
      <c r="L102">
        <f t="shared" ca="1" si="7"/>
        <v>0</v>
      </c>
      <c r="M102" t="str">
        <f t="shared" ca="1" si="8"/>
        <v>Low</v>
      </c>
      <c r="N102">
        <f t="shared" ca="1" si="9"/>
        <v>1.8</v>
      </c>
      <c r="O102">
        <f t="shared" ca="1" si="10"/>
        <v>0</v>
      </c>
      <c r="P102">
        <f t="shared" ca="1" si="11"/>
        <v>0</v>
      </c>
    </row>
    <row r="103" spans="1:16" x14ac:dyDescent="0.3">
      <c r="A103" t="s">
        <v>215</v>
      </c>
      <c r="B103" t="s">
        <v>216</v>
      </c>
      <c r="C103" t="s">
        <v>51</v>
      </c>
      <c r="D103" t="s">
        <v>30</v>
      </c>
      <c r="E103" s="1">
        <v>45774</v>
      </c>
      <c r="F103">
        <v>2807.25</v>
      </c>
      <c r="G103">
        <v>8.16</v>
      </c>
      <c r="H103">
        <v>60</v>
      </c>
      <c r="I103" t="s">
        <v>14</v>
      </c>
      <c r="J103">
        <v>2021</v>
      </c>
      <c r="K103">
        <f t="shared" ca="1" si="6"/>
        <v>90</v>
      </c>
      <c r="L103">
        <f t="shared" ca="1" si="7"/>
        <v>1</v>
      </c>
      <c r="M103" t="str">
        <f t="shared" ca="1" si="8"/>
        <v>High</v>
      </c>
      <c r="N103">
        <f t="shared" ca="1" si="9"/>
        <v>15</v>
      </c>
      <c r="O103">
        <f t="shared" ca="1" si="10"/>
        <v>7.8</v>
      </c>
      <c r="P103">
        <f t="shared" ca="1" si="11"/>
        <v>0</v>
      </c>
    </row>
    <row r="104" spans="1:16" x14ac:dyDescent="0.3">
      <c r="A104" t="s">
        <v>217</v>
      </c>
      <c r="B104" t="s">
        <v>218</v>
      </c>
      <c r="C104" t="s">
        <v>17</v>
      </c>
      <c r="D104" t="s">
        <v>22</v>
      </c>
      <c r="E104" s="1">
        <v>46099</v>
      </c>
      <c r="F104">
        <v>6048.16</v>
      </c>
      <c r="G104">
        <v>7.34</v>
      </c>
      <c r="H104">
        <v>180</v>
      </c>
      <c r="I104" t="s">
        <v>14</v>
      </c>
      <c r="J104">
        <v>4959</v>
      </c>
      <c r="K104">
        <f t="shared" ca="1" si="6"/>
        <v>45</v>
      </c>
      <c r="L104">
        <f t="shared" ca="1" si="7"/>
        <v>0</v>
      </c>
      <c r="M104" t="str">
        <f t="shared" ca="1" si="8"/>
        <v>Medium</v>
      </c>
      <c r="N104">
        <f t="shared" ca="1" si="9"/>
        <v>9</v>
      </c>
      <c r="O104">
        <f t="shared" ca="1" si="10"/>
        <v>0</v>
      </c>
      <c r="P104">
        <f t="shared" ca="1" si="11"/>
        <v>6229.6048000000001</v>
      </c>
    </row>
    <row r="105" spans="1:16" x14ac:dyDescent="0.3">
      <c r="A105" t="s">
        <v>219</v>
      </c>
      <c r="B105" t="s">
        <v>220</v>
      </c>
      <c r="C105" t="s">
        <v>54</v>
      </c>
      <c r="D105" t="s">
        <v>75</v>
      </c>
      <c r="E105" s="1">
        <v>45446</v>
      </c>
      <c r="F105">
        <v>18018.5</v>
      </c>
      <c r="G105">
        <v>18.47</v>
      </c>
      <c r="H105">
        <v>84</v>
      </c>
      <c r="I105" t="s">
        <v>27</v>
      </c>
      <c r="J105">
        <v>0</v>
      </c>
      <c r="K105">
        <f t="shared" ca="1" si="6"/>
        <v>0</v>
      </c>
      <c r="L105">
        <f t="shared" ca="1" si="7"/>
        <v>0</v>
      </c>
      <c r="M105" t="str">
        <f t="shared" ca="1" si="8"/>
        <v>Low</v>
      </c>
      <c r="N105">
        <f t="shared" ca="1" si="9"/>
        <v>0.84</v>
      </c>
      <c r="O105">
        <f t="shared" ca="1" si="10"/>
        <v>0</v>
      </c>
      <c r="P105">
        <f t="shared" ca="1" si="11"/>
        <v>17297.759999999998</v>
      </c>
    </row>
    <row r="106" spans="1:16" x14ac:dyDescent="0.3">
      <c r="A106" t="s">
        <v>221</v>
      </c>
      <c r="B106" t="s">
        <v>222</v>
      </c>
      <c r="C106" t="s">
        <v>33</v>
      </c>
      <c r="D106" t="s">
        <v>75</v>
      </c>
      <c r="E106" s="1">
        <v>45683</v>
      </c>
      <c r="F106">
        <v>44431.58</v>
      </c>
      <c r="G106">
        <v>6.34</v>
      </c>
      <c r="H106">
        <v>48</v>
      </c>
      <c r="I106" t="s">
        <v>27</v>
      </c>
      <c r="J106">
        <v>0</v>
      </c>
      <c r="K106">
        <f t="shared" ca="1" si="6"/>
        <v>60</v>
      </c>
      <c r="L106">
        <f t="shared" ca="1" si="7"/>
        <v>0</v>
      </c>
      <c r="M106" t="str">
        <f t="shared" ca="1" si="8"/>
        <v>Medium</v>
      </c>
      <c r="N106">
        <f t="shared" ca="1" si="9"/>
        <v>4.8000000000000007</v>
      </c>
      <c r="O106">
        <f t="shared" ca="1" si="10"/>
        <v>0</v>
      </c>
      <c r="P106">
        <f t="shared" ca="1" si="11"/>
        <v>39988.421999999999</v>
      </c>
    </row>
    <row r="107" spans="1:16" x14ac:dyDescent="0.3">
      <c r="A107" t="s">
        <v>223</v>
      </c>
      <c r="B107" t="s">
        <v>224</v>
      </c>
      <c r="C107" t="s">
        <v>54</v>
      </c>
      <c r="D107" t="s">
        <v>75</v>
      </c>
      <c r="E107" s="1">
        <v>45514</v>
      </c>
      <c r="F107">
        <v>19637.75</v>
      </c>
      <c r="G107">
        <v>7.01</v>
      </c>
      <c r="H107">
        <v>240</v>
      </c>
      <c r="I107" t="s">
        <v>19</v>
      </c>
      <c r="J107">
        <v>0</v>
      </c>
      <c r="K107">
        <f t="shared" ca="1" si="6"/>
        <v>0</v>
      </c>
      <c r="L107">
        <f t="shared" ca="1" si="7"/>
        <v>0</v>
      </c>
      <c r="M107" t="str">
        <f t="shared" ca="1" si="8"/>
        <v>Low</v>
      </c>
      <c r="N107">
        <f t="shared" ca="1" si="9"/>
        <v>2.4</v>
      </c>
      <c r="O107">
        <f t="shared" ca="1" si="10"/>
        <v>0</v>
      </c>
      <c r="P107">
        <f t="shared" ca="1" si="11"/>
        <v>19048.6175</v>
      </c>
    </row>
    <row r="108" spans="1:16" x14ac:dyDescent="0.3">
      <c r="A108" t="s">
        <v>225</v>
      </c>
      <c r="B108" t="s">
        <v>138</v>
      </c>
      <c r="C108" t="s">
        <v>33</v>
      </c>
      <c r="D108" t="s">
        <v>26</v>
      </c>
      <c r="E108" s="1">
        <v>45878</v>
      </c>
      <c r="F108">
        <v>21935.22</v>
      </c>
      <c r="G108">
        <v>20.69</v>
      </c>
      <c r="H108">
        <v>36</v>
      </c>
      <c r="I108" t="s">
        <v>27</v>
      </c>
      <c r="J108">
        <v>0</v>
      </c>
      <c r="K108">
        <f t="shared" ca="1" si="6"/>
        <v>0</v>
      </c>
      <c r="L108">
        <f t="shared" ca="1" si="7"/>
        <v>0</v>
      </c>
      <c r="M108" t="str">
        <f t="shared" ca="1" si="8"/>
        <v>Low</v>
      </c>
      <c r="N108">
        <f t="shared" ca="1" si="9"/>
        <v>0.36</v>
      </c>
      <c r="O108">
        <f t="shared" ca="1" si="10"/>
        <v>0</v>
      </c>
      <c r="P108">
        <f t="shared" ca="1" si="11"/>
        <v>20180.402400000003</v>
      </c>
    </row>
    <row r="109" spans="1:16" x14ac:dyDescent="0.3">
      <c r="A109" t="s">
        <v>226</v>
      </c>
      <c r="B109" t="s">
        <v>227</v>
      </c>
      <c r="C109" t="s">
        <v>51</v>
      </c>
      <c r="D109" t="s">
        <v>75</v>
      </c>
      <c r="E109" s="1">
        <v>45665</v>
      </c>
      <c r="F109">
        <v>56288.75</v>
      </c>
      <c r="G109">
        <v>16.010000000000002</v>
      </c>
      <c r="H109">
        <v>60</v>
      </c>
      <c r="I109" t="s">
        <v>14</v>
      </c>
      <c r="J109">
        <v>41654</v>
      </c>
      <c r="K109">
        <f t="shared" ca="1" si="6"/>
        <v>30</v>
      </c>
      <c r="L109">
        <f t="shared" ca="1" si="7"/>
        <v>0</v>
      </c>
      <c r="M109" t="str">
        <f t="shared" ca="1" si="8"/>
        <v>Medium</v>
      </c>
      <c r="N109">
        <f t="shared" ca="1" si="9"/>
        <v>3</v>
      </c>
      <c r="O109">
        <f t="shared" ca="1" si="10"/>
        <v>0</v>
      </c>
      <c r="P109">
        <f t="shared" ca="1" si="11"/>
        <v>63606.287499999999</v>
      </c>
    </row>
    <row r="110" spans="1:16" x14ac:dyDescent="0.3">
      <c r="A110" t="s">
        <v>228</v>
      </c>
      <c r="B110" t="s">
        <v>229</v>
      </c>
      <c r="C110" t="s">
        <v>36</v>
      </c>
      <c r="D110" t="s">
        <v>22</v>
      </c>
      <c r="E110" s="1">
        <v>45369</v>
      </c>
      <c r="F110">
        <v>17378.43</v>
      </c>
      <c r="G110">
        <v>7.64</v>
      </c>
      <c r="H110">
        <v>180</v>
      </c>
      <c r="I110" t="s">
        <v>14</v>
      </c>
      <c r="J110">
        <v>10948</v>
      </c>
      <c r="K110">
        <f t="shared" ca="1" si="6"/>
        <v>45</v>
      </c>
      <c r="L110">
        <f t="shared" ca="1" si="7"/>
        <v>0</v>
      </c>
      <c r="M110" t="str">
        <f t="shared" ca="1" si="8"/>
        <v>Medium</v>
      </c>
      <c r="N110">
        <f t="shared" ca="1" si="9"/>
        <v>9</v>
      </c>
      <c r="O110">
        <f t="shared" ca="1" si="10"/>
        <v>0</v>
      </c>
      <c r="P110">
        <f t="shared" ca="1" si="11"/>
        <v>21027.900300000001</v>
      </c>
    </row>
    <row r="111" spans="1:16" x14ac:dyDescent="0.3">
      <c r="A111" t="s">
        <v>230</v>
      </c>
      <c r="B111" t="s">
        <v>61</v>
      </c>
      <c r="C111" t="s">
        <v>36</v>
      </c>
      <c r="D111" t="s">
        <v>18</v>
      </c>
      <c r="E111" s="1">
        <v>45851</v>
      </c>
      <c r="F111">
        <v>33537.51</v>
      </c>
      <c r="G111">
        <v>7.84</v>
      </c>
      <c r="H111">
        <v>360</v>
      </c>
      <c r="I111" t="s">
        <v>14</v>
      </c>
      <c r="J111">
        <v>30184</v>
      </c>
      <c r="K111">
        <f t="shared" ca="1" si="6"/>
        <v>45</v>
      </c>
      <c r="L111">
        <f t="shared" ca="1" si="7"/>
        <v>0</v>
      </c>
      <c r="M111" t="str">
        <f t="shared" ca="1" si="8"/>
        <v>Medium</v>
      </c>
      <c r="N111">
        <f t="shared" ca="1" si="9"/>
        <v>18</v>
      </c>
      <c r="O111">
        <f t="shared" ca="1" si="10"/>
        <v>0</v>
      </c>
      <c r="P111">
        <f t="shared" ca="1" si="11"/>
        <v>0</v>
      </c>
    </row>
    <row r="112" spans="1:16" x14ac:dyDescent="0.3">
      <c r="A112" t="s">
        <v>231</v>
      </c>
      <c r="B112" t="s">
        <v>232</v>
      </c>
      <c r="C112" t="s">
        <v>36</v>
      </c>
      <c r="D112" t="s">
        <v>75</v>
      </c>
      <c r="E112" s="1">
        <v>45995</v>
      </c>
      <c r="F112">
        <v>98717.79</v>
      </c>
      <c r="G112">
        <v>11.95</v>
      </c>
      <c r="H112">
        <v>36</v>
      </c>
      <c r="I112" t="s">
        <v>14</v>
      </c>
      <c r="J112">
        <v>65154</v>
      </c>
      <c r="K112">
        <f t="shared" ca="1" si="6"/>
        <v>0</v>
      </c>
      <c r="L112">
        <f t="shared" ca="1" si="7"/>
        <v>0</v>
      </c>
      <c r="M112" t="str">
        <f t="shared" ca="1" si="8"/>
        <v>Low</v>
      </c>
      <c r="N112">
        <f t="shared" ca="1" si="9"/>
        <v>0.36</v>
      </c>
      <c r="O112">
        <f t="shared" ca="1" si="10"/>
        <v>0</v>
      </c>
      <c r="P112">
        <f t="shared" ca="1" si="11"/>
        <v>106615.21319999998</v>
      </c>
    </row>
    <row r="113" spans="1:16" x14ac:dyDescent="0.3">
      <c r="A113" t="s">
        <v>233</v>
      </c>
      <c r="B113" t="s">
        <v>43</v>
      </c>
      <c r="C113" t="s">
        <v>51</v>
      </c>
      <c r="D113" t="s">
        <v>13</v>
      </c>
      <c r="E113" s="1">
        <v>45622</v>
      </c>
      <c r="F113">
        <v>13614.37</v>
      </c>
      <c r="G113">
        <v>20.96</v>
      </c>
      <c r="H113">
        <v>84</v>
      </c>
      <c r="I113" t="s">
        <v>14</v>
      </c>
      <c r="J113">
        <v>7488</v>
      </c>
      <c r="K113">
        <f t="shared" ca="1" si="6"/>
        <v>120</v>
      </c>
      <c r="L113">
        <f t="shared" ca="1" si="7"/>
        <v>1</v>
      </c>
      <c r="M113" t="str">
        <f t="shared" ca="1" si="8"/>
        <v>High</v>
      </c>
      <c r="N113">
        <f t="shared" ca="1" si="9"/>
        <v>21</v>
      </c>
      <c r="O113">
        <f t="shared" ca="1" si="10"/>
        <v>19.32</v>
      </c>
      <c r="P113">
        <f t="shared" ca="1" si="11"/>
        <v>0</v>
      </c>
    </row>
    <row r="114" spans="1:16" x14ac:dyDescent="0.3">
      <c r="A114" t="s">
        <v>234</v>
      </c>
      <c r="B114" t="s">
        <v>125</v>
      </c>
      <c r="C114" t="s">
        <v>36</v>
      </c>
      <c r="D114" t="s">
        <v>22</v>
      </c>
      <c r="E114" s="1">
        <v>45550</v>
      </c>
      <c r="F114">
        <v>63219.72</v>
      </c>
      <c r="G114">
        <v>18.53</v>
      </c>
      <c r="H114">
        <v>24</v>
      </c>
      <c r="I114" t="s">
        <v>14</v>
      </c>
      <c r="J114">
        <v>26552</v>
      </c>
      <c r="K114">
        <f t="shared" ca="1" si="6"/>
        <v>0</v>
      </c>
      <c r="L114">
        <f t="shared" ca="1" si="7"/>
        <v>0</v>
      </c>
      <c r="M114" t="str">
        <f t="shared" ca="1" si="8"/>
        <v>Low</v>
      </c>
      <c r="N114">
        <f t="shared" ca="1" si="9"/>
        <v>0.24</v>
      </c>
      <c r="O114">
        <f t="shared" ca="1" si="10"/>
        <v>0</v>
      </c>
      <c r="P114">
        <f t="shared" ca="1" si="11"/>
        <v>70173.889200000005</v>
      </c>
    </row>
    <row r="115" spans="1:16" x14ac:dyDescent="0.3">
      <c r="A115" t="s">
        <v>235</v>
      </c>
      <c r="B115" t="s">
        <v>236</v>
      </c>
      <c r="C115" t="s">
        <v>36</v>
      </c>
      <c r="D115" t="s">
        <v>30</v>
      </c>
      <c r="E115" s="1">
        <v>45407</v>
      </c>
      <c r="F115">
        <v>21079.74</v>
      </c>
      <c r="G115">
        <v>12.72</v>
      </c>
      <c r="H115">
        <v>72</v>
      </c>
      <c r="I115" t="s">
        <v>14</v>
      </c>
      <c r="J115">
        <v>18550</v>
      </c>
      <c r="K115">
        <f t="shared" ca="1" si="6"/>
        <v>0</v>
      </c>
      <c r="L115">
        <f t="shared" ca="1" si="7"/>
        <v>0</v>
      </c>
      <c r="M115" t="str">
        <f t="shared" ca="1" si="8"/>
        <v>Low</v>
      </c>
      <c r="N115">
        <f t="shared" ca="1" si="9"/>
        <v>0.72</v>
      </c>
      <c r="O115">
        <f t="shared" ca="1" si="10"/>
        <v>0</v>
      </c>
      <c r="P115">
        <f t="shared" ca="1" si="11"/>
        <v>0</v>
      </c>
    </row>
    <row r="116" spans="1:16" x14ac:dyDescent="0.3">
      <c r="A116" t="s">
        <v>237</v>
      </c>
      <c r="B116" t="s">
        <v>238</v>
      </c>
      <c r="C116" t="s">
        <v>33</v>
      </c>
      <c r="D116" t="s">
        <v>75</v>
      </c>
      <c r="E116" s="1">
        <v>45947</v>
      </c>
      <c r="F116">
        <v>69864.710000000006</v>
      </c>
      <c r="G116">
        <v>9.6199999999999992</v>
      </c>
      <c r="H116">
        <v>180</v>
      </c>
      <c r="I116" t="s">
        <v>14</v>
      </c>
      <c r="J116">
        <v>31439</v>
      </c>
      <c r="K116">
        <f t="shared" ca="1" si="6"/>
        <v>0</v>
      </c>
      <c r="L116">
        <f t="shared" ca="1" si="7"/>
        <v>0</v>
      </c>
      <c r="M116" t="str">
        <f t="shared" ca="1" si="8"/>
        <v>Low</v>
      </c>
      <c r="N116">
        <f t="shared" ca="1" si="9"/>
        <v>1.8</v>
      </c>
      <c r="O116">
        <f t="shared" ca="1" si="10"/>
        <v>0</v>
      </c>
      <c r="P116">
        <f t="shared" ca="1" si="11"/>
        <v>72659.298400000014</v>
      </c>
    </row>
    <row r="117" spans="1:16" x14ac:dyDescent="0.3">
      <c r="A117" t="s">
        <v>239</v>
      </c>
      <c r="B117" t="s">
        <v>240</v>
      </c>
      <c r="C117" t="s">
        <v>51</v>
      </c>
      <c r="D117" t="s">
        <v>13</v>
      </c>
      <c r="E117" s="1">
        <v>46187</v>
      </c>
      <c r="F117">
        <v>43830.33</v>
      </c>
      <c r="G117">
        <v>5.32</v>
      </c>
      <c r="H117">
        <v>180</v>
      </c>
      <c r="I117" t="s">
        <v>14</v>
      </c>
      <c r="J117">
        <v>38132</v>
      </c>
      <c r="K117">
        <f t="shared" ca="1" si="6"/>
        <v>0</v>
      </c>
      <c r="L117">
        <f t="shared" ca="1" si="7"/>
        <v>0</v>
      </c>
      <c r="M117" t="str">
        <f t="shared" ca="1" si="8"/>
        <v>Low</v>
      </c>
      <c r="N117">
        <f t="shared" ca="1" si="9"/>
        <v>1.8</v>
      </c>
      <c r="O117">
        <f t="shared" ca="1" si="10"/>
        <v>0</v>
      </c>
      <c r="P117">
        <f t="shared" ca="1" si="11"/>
        <v>0</v>
      </c>
    </row>
    <row r="118" spans="1:16" x14ac:dyDescent="0.3">
      <c r="A118" t="s">
        <v>241</v>
      </c>
      <c r="B118" t="s">
        <v>242</v>
      </c>
      <c r="C118" t="s">
        <v>36</v>
      </c>
      <c r="D118" t="s">
        <v>26</v>
      </c>
      <c r="E118" s="1">
        <v>45465</v>
      </c>
      <c r="F118">
        <v>5778.99</v>
      </c>
      <c r="G118">
        <v>11.17</v>
      </c>
      <c r="H118">
        <v>60</v>
      </c>
      <c r="I118" t="s">
        <v>19</v>
      </c>
      <c r="J118">
        <v>0</v>
      </c>
      <c r="K118">
        <f t="shared" ca="1" si="6"/>
        <v>0</v>
      </c>
      <c r="L118">
        <f t="shared" ca="1" si="7"/>
        <v>0</v>
      </c>
      <c r="M118" t="str">
        <f t="shared" ca="1" si="8"/>
        <v>Low</v>
      </c>
      <c r="N118">
        <f t="shared" ca="1" si="9"/>
        <v>0.6</v>
      </c>
      <c r="O118">
        <f t="shared" ca="1" si="10"/>
        <v>0</v>
      </c>
      <c r="P118">
        <f t="shared" ca="1" si="11"/>
        <v>6703.6283999999996</v>
      </c>
    </row>
    <row r="119" spans="1:16" x14ac:dyDescent="0.3">
      <c r="A119" t="s">
        <v>243</v>
      </c>
      <c r="B119" t="s">
        <v>244</v>
      </c>
      <c r="C119" t="s">
        <v>54</v>
      </c>
      <c r="D119" t="s">
        <v>22</v>
      </c>
      <c r="E119" s="1">
        <v>45386</v>
      </c>
      <c r="F119">
        <v>21445.1</v>
      </c>
      <c r="G119">
        <v>10.82</v>
      </c>
      <c r="H119">
        <v>180</v>
      </c>
      <c r="I119" t="s">
        <v>27</v>
      </c>
      <c r="J119">
        <v>0</v>
      </c>
      <c r="K119">
        <f t="shared" ca="1" si="6"/>
        <v>30</v>
      </c>
      <c r="L119">
        <f t="shared" ca="1" si="7"/>
        <v>0</v>
      </c>
      <c r="M119" t="str">
        <f t="shared" ca="1" si="8"/>
        <v>Medium</v>
      </c>
      <c r="N119">
        <f t="shared" ca="1" si="9"/>
        <v>9</v>
      </c>
      <c r="O119">
        <f t="shared" ca="1" si="10"/>
        <v>0</v>
      </c>
      <c r="P119">
        <f t="shared" ca="1" si="11"/>
        <v>21016.197999999997</v>
      </c>
    </row>
    <row r="120" spans="1:16" x14ac:dyDescent="0.3">
      <c r="A120" t="s">
        <v>245</v>
      </c>
      <c r="B120" t="s">
        <v>246</v>
      </c>
      <c r="C120" t="s">
        <v>123</v>
      </c>
      <c r="D120" t="s">
        <v>18</v>
      </c>
      <c r="E120" s="1">
        <v>46062</v>
      </c>
      <c r="F120">
        <v>53441.93</v>
      </c>
      <c r="G120">
        <v>10.58</v>
      </c>
      <c r="H120">
        <v>48</v>
      </c>
      <c r="I120" t="s">
        <v>14</v>
      </c>
      <c r="J120">
        <v>29927</v>
      </c>
      <c r="K120">
        <f t="shared" ca="1" si="6"/>
        <v>0</v>
      </c>
      <c r="L120">
        <f t="shared" ca="1" si="7"/>
        <v>0</v>
      </c>
      <c r="M120" t="str">
        <f t="shared" ca="1" si="8"/>
        <v>Low</v>
      </c>
      <c r="N120">
        <f t="shared" ca="1" si="9"/>
        <v>0.48</v>
      </c>
      <c r="O120">
        <f t="shared" ca="1" si="10"/>
        <v>0</v>
      </c>
      <c r="P120">
        <f t="shared" ca="1" si="11"/>
        <v>0</v>
      </c>
    </row>
    <row r="121" spans="1:16" x14ac:dyDescent="0.3">
      <c r="A121" t="s">
        <v>247</v>
      </c>
      <c r="B121" t="s">
        <v>248</v>
      </c>
      <c r="C121" t="s">
        <v>33</v>
      </c>
      <c r="D121" t="s">
        <v>75</v>
      </c>
      <c r="E121" s="1">
        <v>45941</v>
      </c>
      <c r="F121">
        <v>1214.28</v>
      </c>
      <c r="G121">
        <v>6.32</v>
      </c>
      <c r="H121">
        <v>120</v>
      </c>
      <c r="I121" t="s">
        <v>27</v>
      </c>
      <c r="J121">
        <v>0</v>
      </c>
      <c r="K121">
        <f t="shared" ca="1" si="6"/>
        <v>30</v>
      </c>
      <c r="L121">
        <f t="shared" ca="1" si="7"/>
        <v>0</v>
      </c>
      <c r="M121" t="str">
        <f t="shared" ca="1" si="8"/>
        <v>Medium</v>
      </c>
      <c r="N121">
        <f t="shared" ca="1" si="9"/>
        <v>6</v>
      </c>
      <c r="O121">
        <f t="shared" ca="1" si="10"/>
        <v>0</v>
      </c>
      <c r="P121">
        <f t="shared" ca="1" si="11"/>
        <v>1092.8519999999999</v>
      </c>
    </row>
    <row r="122" spans="1:16" x14ac:dyDescent="0.3">
      <c r="A122" t="s">
        <v>249</v>
      </c>
      <c r="B122" t="s">
        <v>88</v>
      </c>
      <c r="C122" t="s">
        <v>12</v>
      </c>
      <c r="D122" t="s">
        <v>75</v>
      </c>
      <c r="E122" s="1">
        <v>45588</v>
      </c>
      <c r="F122">
        <v>15394.26</v>
      </c>
      <c r="G122">
        <v>11.67</v>
      </c>
      <c r="H122">
        <v>84</v>
      </c>
      <c r="I122" t="s">
        <v>14</v>
      </c>
      <c r="J122">
        <v>5388</v>
      </c>
      <c r="K122">
        <f t="shared" ca="1" si="6"/>
        <v>60</v>
      </c>
      <c r="L122">
        <f t="shared" ca="1" si="7"/>
        <v>0</v>
      </c>
      <c r="M122" t="str">
        <f t="shared" ca="1" si="8"/>
        <v>Medium</v>
      </c>
      <c r="N122">
        <f t="shared" ca="1" si="9"/>
        <v>8.4</v>
      </c>
      <c r="O122">
        <f t="shared" ca="1" si="10"/>
        <v>0</v>
      </c>
      <c r="P122">
        <f t="shared" ca="1" si="11"/>
        <v>18319.169399999999</v>
      </c>
    </row>
    <row r="123" spans="1:16" x14ac:dyDescent="0.3">
      <c r="A123" t="s">
        <v>250</v>
      </c>
      <c r="B123" t="s">
        <v>251</v>
      </c>
      <c r="C123" t="s">
        <v>51</v>
      </c>
      <c r="D123" t="s">
        <v>22</v>
      </c>
      <c r="E123" s="1">
        <v>45857</v>
      </c>
      <c r="F123">
        <v>18560.07</v>
      </c>
      <c r="G123">
        <v>7.32</v>
      </c>
      <c r="H123">
        <v>360</v>
      </c>
      <c r="I123" t="s">
        <v>14</v>
      </c>
      <c r="J123">
        <v>7610</v>
      </c>
      <c r="K123">
        <f t="shared" ca="1" si="6"/>
        <v>90</v>
      </c>
      <c r="L123">
        <f t="shared" ca="1" si="7"/>
        <v>1</v>
      </c>
      <c r="M123" t="str">
        <f t="shared" ca="1" si="8"/>
        <v>High</v>
      </c>
      <c r="N123">
        <f t="shared" ca="1" si="9"/>
        <v>90</v>
      </c>
      <c r="O123">
        <f t="shared" ca="1" si="10"/>
        <v>79.2</v>
      </c>
      <c r="P123">
        <f t="shared" ca="1" si="11"/>
        <v>17632.066500000001</v>
      </c>
    </row>
    <row r="124" spans="1:16" x14ac:dyDescent="0.3">
      <c r="A124" t="s">
        <v>252</v>
      </c>
      <c r="B124" t="s">
        <v>157</v>
      </c>
      <c r="C124" t="s">
        <v>25</v>
      </c>
      <c r="D124" t="s">
        <v>22</v>
      </c>
      <c r="E124" s="1">
        <v>46116</v>
      </c>
      <c r="F124">
        <v>81934.64</v>
      </c>
      <c r="G124">
        <v>12.7</v>
      </c>
      <c r="H124">
        <v>12</v>
      </c>
      <c r="I124" t="s">
        <v>27</v>
      </c>
      <c r="J124">
        <v>0</v>
      </c>
      <c r="K124">
        <f t="shared" ca="1" si="6"/>
        <v>0</v>
      </c>
      <c r="L124">
        <f t="shared" ca="1" si="7"/>
        <v>0</v>
      </c>
      <c r="M124" t="str">
        <f t="shared" ca="1" si="8"/>
        <v>Low</v>
      </c>
      <c r="N124">
        <f t="shared" ca="1" si="9"/>
        <v>0.12</v>
      </c>
      <c r="O124">
        <f t="shared" ca="1" si="10"/>
        <v>0</v>
      </c>
      <c r="P124">
        <f t="shared" ca="1" si="11"/>
        <v>66367.058399999994</v>
      </c>
    </row>
    <row r="125" spans="1:16" x14ac:dyDescent="0.3">
      <c r="A125" t="s">
        <v>253</v>
      </c>
      <c r="B125" t="s">
        <v>254</v>
      </c>
      <c r="C125" t="s">
        <v>33</v>
      </c>
      <c r="D125" t="s">
        <v>22</v>
      </c>
      <c r="E125" s="1">
        <v>46100</v>
      </c>
      <c r="F125">
        <v>83536.67</v>
      </c>
      <c r="G125">
        <v>20.16</v>
      </c>
      <c r="H125">
        <v>84</v>
      </c>
      <c r="I125" t="s">
        <v>27</v>
      </c>
      <c r="J125">
        <v>0</v>
      </c>
      <c r="K125">
        <f t="shared" ca="1" si="6"/>
        <v>60</v>
      </c>
      <c r="L125">
        <f t="shared" ca="1" si="7"/>
        <v>0</v>
      </c>
      <c r="M125" t="str">
        <f t="shared" ca="1" si="8"/>
        <v>Medium</v>
      </c>
      <c r="N125">
        <f t="shared" ca="1" si="9"/>
        <v>8.4</v>
      </c>
      <c r="O125">
        <f t="shared" ca="1" si="10"/>
        <v>0</v>
      </c>
      <c r="P125">
        <f t="shared" ca="1" si="11"/>
        <v>68500.069399999993</v>
      </c>
    </row>
    <row r="126" spans="1:16" x14ac:dyDescent="0.3">
      <c r="A126" t="s">
        <v>255</v>
      </c>
      <c r="B126" t="s">
        <v>82</v>
      </c>
      <c r="C126" t="s">
        <v>12</v>
      </c>
      <c r="D126" t="s">
        <v>13</v>
      </c>
      <c r="E126" s="1">
        <v>45620</v>
      </c>
      <c r="F126">
        <v>58095.11</v>
      </c>
      <c r="G126">
        <v>5.68</v>
      </c>
      <c r="H126">
        <v>84</v>
      </c>
      <c r="I126" t="s">
        <v>14</v>
      </c>
      <c r="J126">
        <v>32533</v>
      </c>
      <c r="K126">
        <f t="shared" ca="1" si="6"/>
        <v>0</v>
      </c>
      <c r="L126">
        <f t="shared" ca="1" si="7"/>
        <v>0</v>
      </c>
      <c r="M126" t="str">
        <f t="shared" ca="1" si="8"/>
        <v>Low</v>
      </c>
      <c r="N126">
        <f t="shared" ca="1" si="9"/>
        <v>0.84</v>
      </c>
      <c r="O126">
        <f t="shared" ca="1" si="10"/>
        <v>0</v>
      </c>
      <c r="P126">
        <f t="shared" ca="1" si="11"/>
        <v>0</v>
      </c>
    </row>
    <row r="127" spans="1:16" x14ac:dyDescent="0.3">
      <c r="A127" t="s">
        <v>256</v>
      </c>
      <c r="B127" t="s">
        <v>92</v>
      </c>
      <c r="C127" t="s">
        <v>39</v>
      </c>
      <c r="D127" t="s">
        <v>26</v>
      </c>
      <c r="E127" s="1">
        <v>45393</v>
      </c>
      <c r="F127">
        <v>91220.25</v>
      </c>
      <c r="G127">
        <v>21.5</v>
      </c>
      <c r="H127">
        <v>72</v>
      </c>
      <c r="I127" t="s">
        <v>27</v>
      </c>
      <c r="J127">
        <v>0</v>
      </c>
      <c r="K127">
        <f t="shared" ca="1" si="6"/>
        <v>15</v>
      </c>
      <c r="L127">
        <f t="shared" ca="1" si="7"/>
        <v>0</v>
      </c>
      <c r="M127" t="str">
        <f t="shared" ca="1" si="8"/>
        <v>Low</v>
      </c>
      <c r="N127">
        <f t="shared" ca="1" si="9"/>
        <v>0.72</v>
      </c>
      <c r="O127">
        <f t="shared" ca="1" si="10"/>
        <v>0</v>
      </c>
      <c r="P127">
        <f t="shared" ca="1" si="11"/>
        <v>117674.1225</v>
      </c>
    </row>
    <row r="128" spans="1:16" x14ac:dyDescent="0.3">
      <c r="A128" t="s">
        <v>257</v>
      </c>
      <c r="B128" t="s">
        <v>258</v>
      </c>
      <c r="C128" t="s">
        <v>54</v>
      </c>
      <c r="D128" t="s">
        <v>22</v>
      </c>
      <c r="E128" s="1">
        <v>45864</v>
      </c>
      <c r="F128">
        <v>41524.870000000003</v>
      </c>
      <c r="G128">
        <v>16.34</v>
      </c>
      <c r="H128">
        <v>12</v>
      </c>
      <c r="I128" t="s">
        <v>27</v>
      </c>
      <c r="J128">
        <v>0</v>
      </c>
      <c r="K128">
        <f t="shared" ca="1" si="6"/>
        <v>0</v>
      </c>
      <c r="L128">
        <f t="shared" ca="1" si="7"/>
        <v>0</v>
      </c>
      <c r="M128" t="str">
        <f t="shared" ca="1" si="8"/>
        <v>Low</v>
      </c>
      <c r="N128">
        <f t="shared" ca="1" si="9"/>
        <v>0.12</v>
      </c>
      <c r="O128">
        <f t="shared" ca="1" si="10"/>
        <v>0</v>
      </c>
      <c r="P128">
        <f t="shared" ca="1" si="11"/>
        <v>45262.1083</v>
      </c>
    </row>
    <row r="129" spans="1:16" x14ac:dyDescent="0.3">
      <c r="A129" t="s">
        <v>259</v>
      </c>
      <c r="B129" t="s">
        <v>41</v>
      </c>
      <c r="C129" t="s">
        <v>54</v>
      </c>
      <c r="D129" t="s">
        <v>26</v>
      </c>
      <c r="E129" s="1">
        <v>45910</v>
      </c>
      <c r="F129">
        <v>89016.68</v>
      </c>
      <c r="G129">
        <v>8.18</v>
      </c>
      <c r="H129">
        <v>24</v>
      </c>
      <c r="I129" t="s">
        <v>14</v>
      </c>
      <c r="J129">
        <v>51630</v>
      </c>
      <c r="K129">
        <f t="shared" ca="1" si="6"/>
        <v>0</v>
      </c>
      <c r="L129">
        <f t="shared" ca="1" si="7"/>
        <v>0</v>
      </c>
      <c r="M129" t="str">
        <f t="shared" ca="1" si="8"/>
        <v>Low</v>
      </c>
      <c r="N129">
        <f t="shared" ca="1" si="9"/>
        <v>0.24</v>
      </c>
      <c r="O129">
        <f t="shared" ca="1" si="10"/>
        <v>0</v>
      </c>
      <c r="P129">
        <f t="shared" ca="1" si="11"/>
        <v>74774.011199999994</v>
      </c>
    </row>
    <row r="130" spans="1:16" x14ac:dyDescent="0.3">
      <c r="A130" t="s">
        <v>260</v>
      </c>
      <c r="B130" t="s">
        <v>261</v>
      </c>
      <c r="C130" t="s">
        <v>70</v>
      </c>
      <c r="D130" t="s">
        <v>75</v>
      </c>
      <c r="E130" s="1">
        <v>45302</v>
      </c>
      <c r="F130">
        <v>21312.06</v>
      </c>
      <c r="G130">
        <v>19.57</v>
      </c>
      <c r="H130">
        <v>12</v>
      </c>
      <c r="I130" t="s">
        <v>14</v>
      </c>
      <c r="J130">
        <v>11509</v>
      </c>
      <c r="K130">
        <f t="shared" ca="1" si="6"/>
        <v>45</v>
      </c>
      <c r="L130">
        <f t="shared" ca="1" si="7"/>
        <v>0</v>
      </c>
      <c r="M130" t="str">
        <f t="shared" ca="1" si="8"/>
        <v>Medium</v>
      </c>
      <c r="N130">
        <f t="shared" ca="1" si="9"/>
        <v>0.60000000000000009</v>
      </c>
      <c r="O130">
        <f t="shared" ca="1" si="10"/>
        <v>0</v>
      </c>
      <c r="P130">
        <f t="shared" ca="1" si="11"/>
        <v>21738.301200000002</v>
      </c>
    </row>
    <row r="131" spans="1:16" x14ac:dyDescent="0.3">
      <c r="A131" t="s">
        <v>262</v>
      </c>
      <c r="B131" t="s">
        <v>263</v>
      </c>
      <c r="C131" t="s">
        <v>54</v>
      </c>
      <c r="D131" t="s">
        <v>30</v>
      </c>
      <c r="E131" s="1">
        <v>46140</v>
      </c>
      <c r="F131">
        <v>56919.32</v>
      </c>
      <c r="G131">
        <v>4.46</v>
      </c>
      <c r="H131">
        <v>36</v>
      </c>
      <c r="I131" t="s">
        <v>14</v>
      </c>
      <c r="J131">
        <v>40982</v>
      </c>
      <c r="K131">
        <f t="shared" ref="K131:K194" ca="1" si="12">IF(I131="Paid Off",0,CHOOSE(RANDBETWEEN(1,10),0,0,0,0,15,30,45,60,90,120))</f>
        <v>120</v>
      </c>
      <c r="L131">
        <f t="shared" ref="L131:L194" ca="1" si="13">IF(K131&gt;=90,1,0)</f>
        <v>1</v>
      </c>
      <c r="M131" t="str">
        <f t="shared" ref="M131:M194" ca="1" si="14">IF(K131&gt;=90,"High",IF(K131&gt;=30,"Medium","Low"))</f>
        <v>High</v>
      </c>
      <c r="N131">
        <f t="shared" ref="N131:N194" ca="1" si="15">IF(L131=1,H131*0.25,IF(K131&gt;=60,H131*0.1,IF(K131&gt;=30,H131*0.05,H131*0.01)))</f>
        <v>9</v>
      </c>
      <c r="O131">
        <f t="shared" ref="O131:O194" ca="1" si="16">IF(L131=1,H131*RANDBETWEEN(5,30)/100,0)</f>
        <v>7.56</v>
      </c>
      <c r="P131">
        <f t="shared" ref="P131:P194" ca="1" si="17">IF(OR(D131="P02",D131="P03",D131="P05"),F131*RANDBETWEEN(70,130)/100,0)</f>
        <v>0</v>
      </c>
    </row>
    <row r="132" spans="1:16" x14ac:dyDescent="0.3">
      <c r="A132" t="s">
        <v>264</v>
      </c>
      <c r="B132" t="s">
        <v>265</v>
      </c>
      <c r="C132" t="s">
        <v>39</v>
      </c>
      <c r="D132" t="s">
        <v>26</v>
      </c>
      <c r="E132" s="1">
        <v>45518</v>
      </c>
      <c r="F132">
        <v>98006.1</v>
      </c>
      <c r="G132">
        <v>6.13</v>
      </c>
      <c r="H132">
        <v>48</v>
      </c>
      <c r="I132" t="s">
        <v>14</v>
      </c>
      <c r="J132">
        <v>70564</v>
      </c>
      <c r="K132">
        <f t="shared" ca="1" si="12"/>
        <v>0</v>
      </c>
      <c r="L132">
        <f t="shared" ca="1" si="13"/>
        <v>0</v>
      </c>
      <c r="M132" t="str">
        <f t="shared" ca="1" si="14"/>
        <v>Low</v>
      </c>
      <c r="N132">
        <f t="shared" ca="1" si="15"/>
        <v>0.48</v>
      </c>
      <c r="O132">
        <f t="shared" ca="1" si="16"/>
        <v>0</v>
      </c>
      <c r="P132">
        <f t="shared" ca="1" si="17"/>
        <v>126427.86900000001</v>
      </c>
    </row>
    <row r="133" spans="1:16" x14ac:dyDescent="0.3">
      <c r="A133" t="s">
        <v>266</v>
      </c>
      <c r="B133" t="s">
        <v>170</v>
      </c>
      <c r="C133" t="s">
        <v>39</v>
      </c>
      <c r="D133" t="s">
        <v>26</v>
      </c>
      <c r="E133" s="1">
        <v>45471</v>
      </c>
      <c r="F133">
        <v>75920.33</v>
      </c>
      <c r="G133">
        <v>20.54</v>
      </c>
      <c r="H133">
        <v>120</v>
      </c>
      <c r="I133" t="s">
        <v>14</v>
      </c>
      <c r="J133">
        <v>56181</v>
      </c>
      <c r="K133">
        <f t="shared" ca="1" si="12"/>
        <v>60</v>
      </c>
      <c r="L133">
        <f t="shared" ca="1" si="13"/>
        <v>0</v>
      </c>
      <c r="M133" t="str">
        <f t="shared" ca="1" si="14"/>
        <v>Medium</v>
      </c>
      <c r="N133">
        <f t="shared" ca="1" si="15"/>
        <v>12</v>
      </c>
      <c r="O133">
        <f t="shared" ca="1" si="16"/>
        <v>0</v>
      </c>
      <c r="P133">
        <f t="shared" ca="1" si="17"/>
        <v>76679.533299999996</v>
      </c>
    </row>
    <row r="134" spans="1:16" x14ac:dyDescent="0.3">
      <c r="A134" t="s">
        <v>267</v>
      </c>
      <c r="B134" t="s">
        <v>190</v>
      </c>
      <c r="C134" t="s">
        <v>25</v>
      </c>
      <c r="D134" t="s">
        <v>30</v>
      </c>
      <c r="E134" s="1">
        <v>45477</v>
      </c>
      <c r="F134">
        <v>7343.21</v>
      </c>
      <c r="G134">
        <v>17.89</v>
      </c>
      <c r="H134">
        <v>48</v>
      </c>
      <c r="I134" t="s">
        <v>27</v>
      </c>
      <c r="J134">
        <v>0</v>
      </c>
      <c r="K134">
        <f t="shared" ca="1" si="12"/>
        <v>0</v>
      </c>
      <c r="L134">
        <f t="shared" ca="1" si="13"/>
        <v>0</v>
      </c>
      <c r="M134" t="str">
        <f t="shared" ca="1" si="14"/>
        <v>Low</v>
      </c>
      <c r="N134">
        <f t="shared" ca="1" si="15"/>
        <v>0.48</v>
      </c>
      <c r="O134">
        <f t="shared" ca="1" si="16"/>
        <v>0</v>
      </c>
      <c r="P134">
        <f t="shared" ca="1" si="17"/>
        <v>0</v>
      </c>
    </row>
    <row r="135" spans="1:16" x14ac:dyDescent="0.3">
      <c r="A135" t="s">
        <v>268</v>
      </c>
      <c r="B135" t="s">
        <v>269</v>
      </c>
      <c r="C135" t="s">
        <v>51</v>
      </c>
      <c r="D135" t="s">
        <v>30</v>
      </c>
      <c r="E135" s="1">
        <v>45864</v>
      </c>
      <c r="F135">
        <v>6233.97</v>
      </c>
      <c r="G135">
        <v>12.46</v>
      </c>
      <c r="H135">
        <v>24</v>
      </c>
      <c r="I135" t="s">
        <v>14</v>
      </c>
      <c r="J135">
        <v>4738</v>
      </c>
      <c r="K135">
        <f t="shared" ca="1" si="12"/>
        <v>120</v>
      </c>
      <c r="L135">
        <f t="shared" ca="1" si="13"/>
        <v>1</v>
      </c>
      <c r="M135" t="str">
        <f t="shared" ca="1" si="14"/>
        <v>High</v>
      </c>
      <c r="N135">
        <f t="shared" ca="1" si="15"/>
        <v>6</v>
      </c>
      <c r="O135">
        <f t="shared" ca="1" si="16"/>
        <v>4.5599999999999996</v>
      </c>
      <c r="P135">
        <f t="shared" ca="1" si="17"/>
        <v>0</v>
      </c>
    </row>
    <row r="136" spans="1:16" x14ac:dyDescent="0.3">
      <c r="A136" t="s">
        <v>270</v>
      </c>
      <c r="B136" t="s">
        <v>271</v>
      </c>
      <c r="C136" t="s">
        <v>33</v>
      </c>
      <c r="D136" t="s">
        <v>13</v>
      </c>
      <c r="E136" s="1">
        <v>45766</v>
      </c>
      <c r="F136">
        <v>9861.57</v>
      </c>
      <c r="G136">
        <v>12.92</v>
      </c>
      <c r="H136">
        <v>36</v>
      </c>
      <c r="I136" t="s">
        <v>14</v>
      </c>
      <c r="J136">
        <v>9368</v>
      </c>
      <c r="K136">
        <f t="shared" ca="1" si="12"/>
        <v>90</v>
      </c>
      <c r="L136">
        <f t="shared" ca="1" si="13"/>
        <v>1</v>
      </c>
      <c r="M136" t="str">
        <f t="shared" ca="1" si="14"/>
        <v>High</v>
      </c>
      <c r="N136">
        <f t="shared" ca="1" si="15"/>
        <v>9</v>
      </c>
      <c r="O136">
        <f t="shared" ca="1" si="16"/>
        <v>10.08</v>
      </c>
      <c r="P136">
        <f t="shared" ca="1" si="17"/>
        <v>0</v>
      </c>
    </row>
    <row r="137" spans="1:16" x14ac:dyDescent="0.3">
      <c r="A137" t="s">
        <v>272</v>
      </c>
      <c r="B137" t="s">
        <v>273</v>
      </c>
      <c r="C137" t="s">
        <v>123</v>
      </c>
      <c r="D137" t="s">
        <v>13</v>
      </c>
      <c r="E137" s="1">
        <v>45358</v>
      </c>
      <c r="F137">
        <v>2719.7</v>
      </c>
      <c r="G137">
        <v>10.97</v>
      </c>
      <c r="H137">
        <v>60</v>
      </c>
      <c r="I137" t="s">
        <v>14</v>
      </c>
      <c r="J137">
        <v>1659</v>
      </c>
      <c r="K137">
        <f t="shared" ca="1" si="12"/>
        <v>120</v>
      </c>
      <c r="L137">
        <f t="shared" ca="1" si="13"/>
        <v>1</v>
      </c>
      <c r="M137" t="str">
        <f t="shared" ca="1" si="14"/>
        <v>High</v>
      </c>
      <c r="N137">
        <f t="shared" ca="1" si="15"/>
        <v>15</v>
      </c>
      <c r="O137">
        <f t="shared" ca="1" si="16"/>
        <v>3</v>
      </c>
      <c r="P137">
        <f t="shared" ca="1" si="17"/>
        <v>0</v>
      </c>
    </row>
    <row r="138" spans="1:16" x14ac:dyDescent="0.3">
      <c r="A138" t="s">
        <v>274</v>
      </c>
      <c r="B138" t="s">
        <v>275</v>
      </c>
      <c r="C138" t="s">
        <v>39</v>
      </c>
      <c r="D138" t="s">
        <v>18</v>
      </c>
      <c r="E138" s="1">
        <v>46020</v>
      </c>
      <c r="F138">
        <v>91872.75</v>
      </c>
      <c r="G138">
        <v>11.2</v>
      </c>
      <c r="H138">
        <v>180</v>
      </c>
      <c r="I138" t="s">
        <v>14</v>
      </c>
      <c r="J138">
        <v>80848</v>
      </c>
      <c r="K138">
        <f t="shared" ca="1" si="12"/>
        <v>90</v>
      </c>
      <c r="L138">
        <f t="shared" ca="1" si="13"/>
        <v>1</v>
      </c>
      <c r="M138" t="str">
        <f t="shared" ca="1" si="14"/>
        <v>High</v>
      </c>
      <c r="N138">
        <f t="shared" ca="1" si="15"/>
        <v>45</v>
      </c>
      <c r="O138">
        <f t="shared" ca="1" si="16"/>
        <v>12.6</v>
      </c>
      <c r="P138">
        <f t="shared" ca="1" si="17"/>
        <v>0</v>
      </c>
    </row>
    <row r="139" spans="1:16" x14ac:dyDescent="0.3">
      <c r="A139" t="s">
        <v>276</v>
      </c>
      <c r="B139" t="s">
        <v>277</v>
      </c>
      <c r="C139" t="s">
        <v>12</v>
      </c>
      <c r="D139" t="s">
        <v>22</v>
      </c>
      <c r="E139" s="1">
        <v>45496</v>
      </c>
      <c r="F139">
        <v>16325.58</v>
      </c>
      <c r="G139">
        <v>21.47</v>
      </c>
      <c r="H139">
        <v>72</v>
      </c>
      <c r="I139" t="s">
        <v>14</v>
      </c>
      <c r="J139">
        <v>11428</v>
      </c>
      <c r="K139">
        <f t="shared" ca="1" si="12"/>
        <v>15</v>
      </c>
      <c r="L139">
        <f t="shared" ca="1" si="13"/>
        <v>0</v>
      </c>
      <c r="M139" t="str">
        <f t="shared" ca="1" si="14"/>
        <v>Low</v>
      </c>
      <c r="N139">
        <f t="shared" ca="1" si="15"/>
        <v>0.72</v>
      </c>
      <c r="O139">
        <f t="shared" ca="1" si="16"/>
        <v>0</v>
      </c>
      <c r="P139">
        <f t="shared" ca="1" si="17"/>
        <v>18284.649600000001</v>
      </c>
    </row>
    <row r="140" spans="1:16" x14ac:dyDescent="0.3">
      <c r="A140" t="s">
        <v>278</v>
      </c>
      <c r="B140" t="s">
        <v>154</v>
      </c>
      <c r="C140" t="s">
        <v>12</v>
      </c>
      <c r="D140" t="s">
        <v>75</v>
      </c>
      <c r="E140" s="1">
        <v>46003</v>
      </c>
      <c r="F140">
        <v>72213.59</v>
      </c>
      <c r="G140">
        <v>12.47</v>
      </c>
      <c r="H140">
        <v>360</v>
      </c>
      <c r="I140" t="s">
        <v>14</v>
      </c>
      <c r="J140">
        <v>51994</v>
      </c>
      <c r="K140">
        <f t="shared" ca="1" si="12"/>
        <v>90</v>
      </c>
      <c r="L140">
        <f t="shared" ca="1" si="13"/>
        <v>1</v>
      </c>
      <c r="M140" t="str">
        <f t="shared" ca="1" si="14"/>
        <v>High</v>
      </c>
      <c r="N140">
        <f t="shared" ca="1" si="15"/>
        <v>90</v>
      </c>
      <c r="O140">
        <f t="shared" ca="1" si="16"/>
        <v>36</v>
      </c>
      <c r="P140">
        <f t="shared" ca="1" si="17"/>
        <v>87378.443899999984</v>
      </c>
    </row>
    <row r="141" spans="1:16" x14ac:dyDescent="0.3">
      <c r="A141" t="s">
        <v>279</v>
      </c>
      <c r="B141" t="s">
        <v>46</v>
      </c>
      <c r="C141" t="s">
        <v>36</v>
      </c>
      <c r="D141" t="s">
        <v>75</v>
      </c>
      <c r="E141" s="1">
        <v>45292</v>
      </c>
      <c r="F141">
        <v>47755.28</v>
      </c>
      <c r="G141">
        <v>7.12</v>
      </c>
      <c r="H141">
        <v>12</v>
      </c>
      <c r="I141" t="s">
        <v>19</v>
      </c>
      <c r="J141">
        <v>0</v>
      </c>
      <c r="K141">
        <f t="shared" ca="1" si="12"/>
        <v>0</v>
      </c>
      <c r="L141">
        <f t="shared" ca="1" si="13"/>
        <v>0</v>
      </c>
      <c r="M141" t="str">
        <f t="shared" ca="1" si="14"/>
        <v>Low</v>
      </c>
      <c r="N141">
        <f t="shared" ca="1" si="15"/>
        <v>0.12</v>
      </c>
      <c r="O141">
        <f t="shared" ca="1" si="16"/>
        <v>0</v>
      </c>
      <c r="P141">
        <f t="shared" ca="1" si="17"/>
        <v>59216.547200000001</v>
      </c>
    </row>
    <row r="142" spans="1:16" x14ac:dyDescent="0.3">
      <c r="A142" t="s">
        <v>280</v>
      </c>
      <c r="B142" t="s">
        <v>281</v>
      </c>
      <c r="C142" t="s">
        <v>33</v>
      </c>
      <c r="D142" t="s">
        <v>26</v>
      </c>
      <c r="E142" s="1">
        <v>45461</v>
      </c>
      <c r="F142">
        <v>49154.09</v>
      </c>
      <c r="G142">
        <v>11.7</v>
      </c>
      <c r="H142">
        <v>180</v>
      </c>
      <c r="I142" t="s">
        <v>14</v>
      </c>
      <c r="J142">
        <v>25069</v>
      </c>
      <c r="K142">
        <f t="shared" ca="1" si="12"/>
        <v>15</v>
      </c>
      <c r="L142">
        <f t="shared" ca="1" si="13"/>
        <v>0</v>
      </c>
      <c r="M142" t="str">
        <f t="shared" ca="1" si="14"/>
        <v>Low</v>
      </c>
      <c r="N142">
        <f t="shared" ca="1" si="15"/>
        <v>1.8</v>
      </c>
      <c r="O142">
        <f t="shared" ca="1" si="16"/>
        <v>0</v>
      </c>
      <c r="P142">
        <f t="shared" ca="1" si="17"/>
        <v>45713.303700000004</v>
      </c>
    </row>
    <row r="143" spans="1:16" x14ac:dyDescent="0.3">
      <c r="A143" t="s">
        <v>282</v>
      </c>
      <c r="B143" t="s">
        <v>283</v>
      </c>
      <c r="C143" t="s">
        <v>12</v>
      </c>
      <c r="D143" t="s">
        <v>18</v>
      </c>
      <c r="E143" s="1">
        <v>45488</v>
      </c>
      <c r="F143">
        <v>77646.22</v>
      </c>
      <c r="G143">
        <v>5.33</v>
      </c>
      <c r="H143">
        <v>48</v>
      </c>
      <c r="I143" t="s">
        <v>14</v>
      </c>
      <c r="J143">
        <v>38047</v>
      </c>
      <c r="K143">
        <f t="shared" ca="1" si="12"/>
        <v>0</v>
      </c>
      <c r="L143">
        <f t="shared" ca="1" si="13"/>
        <v>0</v>
      </c>
      <c r="M143" t="str">
        <f t="shared" ca="1" si="14"/>
        <v>Low</v>
      </c>
      <c r="N143">
        <f t="shared" ca="1" si="15"/>
        <v>0.48</v>
      </c>
      <c r="O143">
        <f t="shared" ca="1" si="16"/>
        <v>0</v>
      </c>
      <c r="P143">
        <f t="shared" ca="1" si="17"/>
        <v>0</v>
      </c>
    </row>
    <row r="144" spans="1:16" x14ac:dyDescent="0.3">
      <c r="A144" t="s">
        <v>284</v>
      </c>
      <c r="B144" t="s">
        <v>285</v>
      </c>
      <c r="C144" t="s">
        <v>33</v>
      </c>
      <c r="D144" t="s">
        <v>75</v>
      </c>
      <c r="E144" s="1">
        <v>45656</v>
      </c>
      <c r="F144">
        <v>51717.19</v>
      </c>
      <c r="G144">
        <v>16.899999999999999</v>
      </c>
      <c r="H144">
        <v>48</v>
      </c>
      <c r="I144" t="s">
        <v>14</v>
      </c>
      <c r="J144">
        <v>30513</v>
      </c>
      <c r="K144">
        <f t="shared" ca="1" si="12"/>
        <v>0</v>
      </c>
      <c r="L144">
        <f t="shared" ca="1" si="13"/>
        <v>0</v>
      </c>
      <c r="M144" t="str">
        <f t="shared" ca="1" si="14"/>
        <v>Low</v>
      </c>
      <c r="N144">
        <f t="shared" ca="1" si="15"/>
        <v>0.48</v>
      </c>
      <c r="O144">
        <f t="shared" ca="1" si="16"/>
        <v>0</v>
      </c>
      <c r="P144">
        <f t="shared" ca="1" si="17"/>
        <v>65163.659400000004</v>
      </c>
    </row>
    <row r="145" spans="1:16" x14ac:dyDescent="0.3">
      <c r="A145" t="s">
        <v>286</v>
      </c>
      <c r="B145" t="s">
        <v>138</v>
      </c>
      <c r="C145" t="s">
        <v>33</v>
      </c>
      <c r="D145" t="s">
        <v>22</v>
      </c>
      <c r="E145" s="1">
        <v>46102</v>
      </c>
      <c r="F145">
        <v>62545.33</v>
      </c>
      <c r="G145">
        <v>6.07</v>
      </c>
      <c r="H145">
        <v>48</v>
      </c>
      <c r="I145" t="s">
        <v>14</v>
      </c>
      <c r="J145">
        <v>59418</v>
      </c>
      <c r="K145">
        <f t="shared" ca="1" si="12"/>
        <v>0</v>
      </c>
      <c r="L145">
        <f t="shared" ca="1" si="13"/>
        <v>0</v>
      </c>
      <c r="M145" t="str">
        <f t="shared" ca="1" si="14"/>
        <v>Low</v>
      </c>
      <c r="N145">
        <f t="shared" ca="1" si="15"/>
        <v>0.48</v>
      </c>
      <c r="O145">
        <f t="shared" ca="1" si="16"/>
        <v>0</v>
      </c>
      <c r="P145">
        <f t="shared" ca="1" si="17"/>
        <v>51912.623900000006</v>
      </c>
    </row>
    <row r="146" spans="1:16" x14ac:dyDescent="0.3">
      <c r="A146" t="s">
        <v>287</v>
      </c>
      <c r="B146" t="s">
        <v>288</v>
      </c>
      <c r="C146" t="s">
        <v>123</v>
      </c>
      <c r="D146" t="s">
        <v>26</v>
      </c>
      <c r="E146" s="1">
        <v>45659</v>
      </c>
      <c r="F146">
        <v>91419.06</v>
      </c>
      <c r="G146">
        <v>15.18</v>
      </c>
      <c r="H146">
        <v>72</v>
      </c>
      <c r="I146" t="s">
        <v>14</v>
      </c>
      <c r="J146">
        <v>47538</v>
      </c>
      <c r="K146">
        <f t="shared" ca="1" si="12"/>
        <v>30</v>
      </c>
      <c r="L146">
        <f t="shared" ca="1" si="13"/>
        <v>0</v>
      </c>
      <c r="M146" t="str">
        <f t="shared" ca="1" si="14"/>
        <v>Medium</v>
      </c>
      <c r="N146">
        <f t="shared" ca="1" si="15"/>
        <v>3.6</v>
      </c>
      <c r="O146">
        <f t="shared" ca="1" si="16"/>
        <v>0</v>
      </c>
      <c r="P146">
        <f t="shared" ca="1" si="17"/>
        <v>66735.913799999995</v>
      </c>
    </row>
    <row r="147" spans="1:16" x14ac:dyDescent="0.3">
      <c r="A147" t="s">
        <v>289</v>
      </c>
      <c r="B147" t="s">
        <v>290</v>
      </c>
      <c r="C147" t="s">
        <v>36</v>
      </c>
      <c r="D147" t="s">
        <v>30</v>
      </c>
      <c r="E147" s="1">
        <v>46053</v>
      </c>
      <c r="F147">
        <v>96498.14</v>
      </c>
      <c r="G147">
        <v>19.48</v>
      </c>
      <c r="H147">
        <v>48</v>
      </c>
      <c r="I147" t="s">
        <v>14</v>
      </c>
      <c r="J147">
        <v>34739</v>
      </c>
      <c r="K147">
        <f t="shared" ca="1" si="12"/>
        <v>60</v>
      </c>
      <c r="L147">
        <f t="shared" ca="1" si="13"/>
        <v>0</v>
      </c>
      <c r="M147" t="str">
        <f t="shared" ca="1" si="14"/>
        <v>Medium</v>
      </c>
      <c r="N147">
        <f t="shared" ca="1" si="15"/>
        <v>4.8000000000000007</v>
      </c>
      <c r="O147">
        <f t="shared" ca="1" si="16"/>
        <v>0</v>
      </c>
      <c r="P147">
        <f t="shared" ca="1" si="17"/>
        <v>0</v>
      </c>
    </row>
    <row r="148" spans="1:16" x14ac:dyDescent="0.3">
      <c r="A148" t="s">
        <v>291</v>
      </c>
      <c r="B148" t="s">
        <v>292</v>
      </c>
      <c r="C148" t="s">
        <v>36</v>
      </c>
      <c r="D148" t="s">
        <v>26</v>
      </c>
      <c r="E148" s="1">
        <v>46151</v>
      </c>
      <c r="F148">
        <v>31148.16</v>
      </c>
      <c r="G148">
        <v>12.45</v>
      </c>
      <c r="H148">
        <v>180</v>
      </c>
      <c r="I148" t="s">
        <v>19</v>
      </c>
      <c r="J148">
        <v>0</v>
      </c>
      <c r="K148">
        <f t="shared" ca="1" si="12"/>
        <v>0</v>
      </c>
      <c r="L148">
        <f t="shared" ca="1" si="13"/>
        <v>0</v>
      </c>
      <c r="M148" t="str">
        <f t="shared" ca="1" si="14"/>
        <v>Low</v>
      </c>
      <c r="N148">
        <f t="shared" ca="1" si="15"/>
        <v>1.8</v>
      </c>
      <c r="O148">
        <f t="shared" ca="1" si="16"/>
        <v>0</v>
      </c>
      <c r="P148">
        <f t="shared" ca="1" si="17"/>
        <v>26164.454399999999</v>
      </c>
    </row>
    <row r="149" spans="1:16" x14ac:dyDescent="0.3">
      <c r="A149" t="s">
        <v>293</v>
      </c>
      <c r="B149" t="s">
        <v>294</v>
      </c>
      <c r="C149" t="s">
        <v>39</v>
      </c>
      <c r="D149" t="s">
        <v>30</v>
      </c>
      <c r="E149" s="1">
        <v>45594</v>
      </c>
      <c r="F149">
        <v>84132.82</v>
      </c>
      <c r="G149">
        <v>21.87</v>
      </c>
      <c r="H149">
        <v>120</v>
      </c>
      <c r="I149" t="s">
        <v>14</v>
      </c>
      <c r="J149">
        <v>71513</v>
      </c>
      <c r="K149">
        <f t="shared" ca="1" si="12"/>
        <v>120</v>
      </c>
      <c r="L149">
        <f t="shared" ca="1" si="13"/>
        <v>1</v>
      </c>
      <c r="M149" t="str">
        <f t="shared" ca="1" si="14"/>
        <v>High</v>
      </c>
      <c r="N149">
        <f t="shared" ca="1" si="15"/>
        <v>30</v>
      </c>
      <c r="O149">
        <f t="shared" ca="1" si="16"/>
        <v>25.2</v>
      </c>
      <c r="P149">
        <f t="shared" ca="1" si="17"/>
        <v>0</v>
      </c>
    </row>
    <row r="150" spans="1:16" x14ac:dyDescent="0.3">
      <c r="A150" t="s">
        <v>295</v>
      </c>
      <c r="B150" t="s">
        <v>296</v>
      </c>
      <c r="C150" t="s">
        <v>54</v>
      </c>
      <c r="D150" t="s">
        <v>13</v>
      </c>
      <c r="E150" s="1">
        <v>45588</v>
      </c>
      <c r="F150">
        <v>31058.45</v>
      </c>
      <c r="G150">
        <v>8.2100000000000009</v>
      </c>
      <c r="H150">
        <v>48</v>
      </c>
      <c r="I150" t="s">
        <v>19</v>
      </c>
      <c r="J150">
        <v>0</v>
      </c>
      <c r="K150">
        <f t="shared" ca="1" si="12"/>
        <v>0</v>
      </c>
      <c r="L150">
        <f t="shared" ca="1" si="13"/>
        <v>0</v>
      </c>
      <c r="M150" t="str">
        <f t="shared" ca="1" si="14"/>
        <v>Low</v>
      </c>
      <c r="N150">
        <f t="shared" ca="1" si="15"/>
        <v>0.48</v>
      </c>
      <c r="O150">
        <f t="shared" ca="1" si="16"/>
        <v>0</v>
      </c>
      <c r="P150">
        <f t="shared" ca="1" si="17"/>
        <v>0</v>
      </c>
    </row>
    <row r="151" spans="1:16" x14ac:dyDescent="0.3">
      <c r="A151" t="s">
        <v>297</v>
      </c>
      <c r="B151" t="s">
        <v>298</v>
      </c>
      <c r="C151" t="s">
        <v>36</v>
      </c>
      <c r="D151" t="s">
        <v>75</v>
      </c>
      <c r="E151" s="1">
        <v>45829</v>
      </c>
      <c r="F151">
        <v>76269.89</v>
      </c>
      <c r="G151">
        <v>13.44</v>
      </c>
      <c r="H151">
        <v>240</v>
      </c>
      <c r="I151" t="s">
        <v>14</v>
      </c>
      <c r="J151">
        <v>61016</v>
      </c>
      <c r="K151">
        <f t="shared" ca="1" si="12"/>
        <v>120</v>
      </c>
      <c r="L151">
        <f t="shared" ca="1" si="13"/>
        <v>1</v>
      </c>
      <c r="M151" t="str">
        <f t="shared" ca="1" si="14"/>
        <v>High</v>
      </c>
      <c r="N151">
        <f t="shared" ca="1" si="15"/>
        <v>60</v>
      </c>
      <c r="O151">
        <f t="shared" ca="1" si="16"/>
        <v>40.799999999999997</v>
      </c>
      <c r="P151">
        <f t="shared" ca="1" si="17"/>
        <v>68642.900999999998</v>
      </c>
    </row>
    <row r="152" spans="1:16" x14ac:dyDescent="0.3">
      <c r="A152" t="s">
        <v>299</v>
      </c>
      <c r="B152" t="s">
        <v>300</v>
      </c>
      <c r="C152" t="s">
        <v>12</v>
      </c>
      <c r="D152" t="s">
        <v>18</v>
      </c>
      <c r="E152" s="1">
        <v>45426</v>
      </c>
      <c r="F152">
        <v>5559.44</v>
      </c>
      <c r="G152">
        <v>13.1</v>
      </c>
      <c r="H152">
        <v>360</v>
      </c>
      <c r="I152" t="s">
        <v>14</v>
      </c>
      <c r="J152">
        <v>4225</v>
      </c>
      <c r="K152">
        <f t="shared" ca="1" si="12"/>
        <v>0</v>
      </c>
      <c r="L152">
        <f t="shared" ca="1" si="13"/>
        <v>0</v>
      </c>
      <c r="M152" t="str">
        <f t="shared" ca="1" si="14"/>
        <v>Low</v>
      </c>
      <c r="N152">
        <f t="shared" ca="1" si="15"/>
        <v>3.6</v>
      </c>
      <c r="O152">
        <f t="shared" ca="1" si="16"/>
        <v>0</v>
      </c>
      <c r="P152">
        <f t="shared" ca="1" si="17"/>
        <v>0</v>
      </c>
    </row>
    <row r="153" spans="1:16" x14ac:dyDescent="0.3">
      <c r="A153" t="s">
        <v>301</v>
      </c>
      <c r="B153" t="s">
        <v>302</v>
      </c>
      <c r="C153" t="s">
        <v>25</v>
      </c>
      <c r="D153" t="s">
        <v>22</v>
      </c>
      <c r="E153" s="1">
        <v>46097</v>
      </c>
      <c r="F153">
        <v>66134.59</v>
      </c>
      <c r="G153">
        <v>12.6</v>
      </c>
      <c r="H153">
        <v>72</v>
      </c>
      <c r="I153" t="s">
        <v>14</v>
      </c>
      <c r="J153">
        <v>31083</v>
      </c>
      <c r="K153">
        <f t="shared" ca="1" si="12"/>
        <v>0</v>
      </c>
      <c r="L153">
        <f t="shared" ca="1" si="13"/>
        <v>0</v>
      </c>
      <c r="M153" t="str">
        <f t="shared" ca="1" si="14"/>
        <v>Low</v>
      </c>
      <c r="N153">
        <f t="shared" ca="1" si="15"/>
        <v>0.72</v>
      </c>
      <c r="O153">
        <f t="shared" ca="1" si="16"/>
        <v>0</v>
      </c>
      <c r="P153">
        <f t="shared" ca="1" si="17"/>
        <v>68118.627699999997</v>
      </c>
    </row>
    <row r="154" spans="1:16" x14ac:dyDescent="0.3">
      <c r="A154" t="s">
        <v>303</v>
      </c>
      <c r="B154" t="s">
        <v>304</v>
      </c>
      <c r="C154" t="s">
        <v>54</v>
      </c>
      <c r="D154" t="s">
        <v>26</v>
      </c>
      <c r="E154" s="1">
        <v>45685</v>
      </c>
      <c r="F154">
        <v>96358.399999999994</v>
      </c>
      <c r="G154">
        <v>14.15</v>
      </c>
      <c r="H154">
        <v>240</v>
      </c>
      <c r="I154" t="s">
        <v>14</v>
      </c>
      <c r="J154">
        <v>67451</v>
      </c>
      <c r="K154">
        <f t="shared" ca="1" si="12"/>
        <v>0</v>
      </c>
      <c r="L154">
        <f t="shared" ca="1" si="13"/>
        <v>0</v>
      </c>
      <c r="M154" t="str">
        <f t="shared" ca="1" si="14"/>
        <v>Low</v>
      </c>
      <c r="N154">
        <f t="shared" ca="1" si="15"/>
        <v>2.4</v>
      </c>
      <c r="O154">
        <f t="shared" ca="1" si="16"/>
        <v>0</v>
      </c>
      <c r="P154">
        <f t="shared" ca="1" si="17"/>
        <v>110812.16</v>
      </c>
    </row>
    <row r="155" spans="1:16" x14ac:dyDescent="0.3">
      <c r="A155" t="s">
        <v>305</v>
      </c>
      <c r="B155" t="s">
        <v>306</v>
      </c>
      <c r="C155" t="s">
        <v>123</v>
      </c>
      <c r="D155" t="s">
        <v>26</v>
      </c>
      <c r="E155" s="1">
        <v>45510</v>
      </c>
      <c r="F155">
        <v>31349.93</v>
      </c>
      <c r="G155">
        <v>7.77</v>
      </c>
      <c r="H155">
        <v>360</v>
      </c>
      <c r="I155" t="s">
        <v>14</v>
      </c>
      <c r="J155">
        <v>27901</v>
      </c>
      <c r="K155">
        <f t="shared" ca="1" si="12"/>
        <v>120</v>
      </c>
      <c r="L155">
        <f t="shared" ca="1" si="13"/>
        <v>1</v>
      </c>
      <c r="M155" t="str">
        <f t="shared" ca="1" si="14"/>
        <v>High</v>
      </c>
      <c r="N155">
        <f t="shared" ca="1" si="15"/>
        <v>90</v>
      </c>
      <c r="O155">
        <f t="shared" ca="1" si="16"/>
        <v>21.6</v>
      </c>
      <c r="P155">
        <f t="shared" ca="1" si="17"/>
        <v>31976.928599999999</v>
      </c>
    </row>
    <row r="156" spans="1:16" x14ac:dyDescent="0.3">
      <c r="A156" t="s">
        <v>307</v>
      </c>
      <c r="B156" t="s">
        <v>308</v>
      </c>
      <c r="C156" t="s">
        <v>51</v>
      </c>
      <c r="D156" t="s">
        <v>22</v>
      </c>
      <c r="E156" s="1">
        <v>45791</v>
      </c>
      <c r="F156">
        <v>91767.85</v>
      </c>
      <c r="G156">
        <v>14.43</v>
      </c>
      <c r="H156">
        <v>60</v>
      </c>
      <c r="I156" t="s">
        <v>14</v>
      </c>
      <c r="J156">
        <v>62402</v>
      </c>
      <c r="K156">
        <f t="shared" ca="1" si="12"/>
        <v>120</v>
      </c>
      <c r="L156">
        <f t="shared" ca="1" si="13"/>
        <v>1</v>
      </c>
      <c r="M156" t="str">
        <f t="shared" ca="1" si="14"/>
        <v>High</v>
      </c>
      <c r="N156">
        <f t="shared" ca="1" si="15"/>
        <v>15</v>
      </c>
      <c r="O156">
        <f t="shared" ca="1" si="16"/>
        <v>7.8</v>
      </c>
      <c r="P156">
        <f t="shared" ca="1" si="17"/>
        <v>78002.672500000015</v>
      </c>
    </row>
    <row r="157" spans="1:16" x14ac:dyDescent="0.3">
      <c r="A157" t="s">
        <v>309</v>
      </c>
      <c r="B157" t="s">
        <v>310</v>
      </c>
      <c r="C157" t="s">
        <v>36</v>
      </c>
      <c r="D157" t="s">
        <v>30</v>
      </c>
      <c r="E157" s="1">
        <v>46157</v>
      </c>
      <c r="F157">
        <v>70879.289999999994</v>
      </c>
      <c r="G157">
        <v>11.44</v>
      </c>
      <c r="H157">
        <v>72</v>
      </c>
      <c r="I157" t="s">
        <v>19</v>
      </c>
      <c r="J157">
        <v>0</v>
      </c>
      <c r="K157">
        <f t="shared" ca="1" si="12"/>
        <v>0</v>
      </c>
      <c r="L157">
        <f t="shared" ca="1" si="13"/>
        <v>0</v>
      </c>
      <c r="M157" t="str">
        <f t="shared" ca="1" si="14"/>
        <v>Low</v>
      </c>
      <c r="N157">
        <f t="shared" ca="1" si="15"/>
        <v>0.72</v>
      </c>
      <c r="O157">
        <f t="shared" ca="1" si="16"/>
        <v>0</v>
      </c>
      <c r="P157">
        <f t="shared" ca="1" si="17"/>
        <v>0</v>
      </c>
    </row>
    <row r="158" spans="1:16" x14ac:dyDescent="0.3">
      <c r="A158" t="s">
        <v>311</v>
      </c>
      <c r="B158" t="s">
        <v>162</v>
      </c>
      <c r="C158" t="s">
        <v>36</v>
      </c>
      <c r="D158" t="s">
        <v>22</v>
      </c>
      <c r="E158" s="1">
        <v>45469</v>
      </c>
      <c r="F158">
        <v>91984</v>
      </c>
      <c r="G158">
        <v>5.88</v>
      </c>
      <c r="H158">
        <v>84</v>
      </c>
      <c r="I158" t="s">
        <v>27</v>
      </c>
      <c r="J158">
        <v>0</v>
      </c>
      <c r="K158">
        <f t="shared" ca="1" si="12"/>
        <v>0</v>
      </c>
      <c r="L158">
        <f t="shared" ca="1" si="13"/>
        <v>0</v>
      </c>
      <c r="M158" t="str">
        <f t="shared" ca="1" si="14"/>
        <v>Low</v>
      </c>
      <c r="N158">
        <f t="shared" ca="1" si="15"/>
        <v>0.84</v>
      </c>
      <c r="O158">
        <f t="shared" ca="1" si="16"/>
        <v>0</v>
      </c>
      <c r="P158">
        <f t="shared" ca="1" si="17"/>
        <v>98422.88</v>
      </c>
    </row>
    <row r="159" spans="1:16" x14ac:dyDescent="0.3">
      <c r="A159" t="s">
        <v>312</v>
      </c>
      <c r="B159" t="s">
        <v>112</v>
      </c>
      <c r="C159" t="s">
        <v>51</v>
      </c>
      <c r="D159" t="s">
        <v>18</v>
      </c>
      <c r="E159" s="1">
        <v>46099</v>
      </c>
      <c r="F159">
        <v>69311.42</v>
      </c>
      <c r="G159">
        <v>9.02</v>
      </c>
      <c r="H159">
        <v>120</v>
      </c>
      <c r="I159" t="s">
        <v>27</v>
      </c>
      <c r="J159">
        <v>0</v>
      </c>
      <c r="K159">
        <f t="shared" ca="1" si="12"/>
        <v>60</v>
      </c>
      <c r="L159">
        <f t="shared" ca="1" si="13"/>
        <v>0</v>
      </c>
      <c r="M159" t="str">
        <f t="shared" ca="1" si="14"/>
        <v>Medium</v>
      </c>
      <c r="N159">
        <f t="shared" ca="1" si="15"/>
        <v>12</v>
      </c>
      <c r="O159">
        <f t="shared" ca="1" si="16"/>
        <v>0</v>
      </c>
      <c r="P159">
        <f t="shared" ca="1" si="17"/>
        <v>0</v>
      </c>
    </row>
    <row r="160" spans="1:16" x14ac:dyDescent="0.3">
      <c r="A160" t="s">
        <v>313</v>
      </c>
      <c r="B160" t="s">
        <v>314</v>
      </c>
      <c r="C160" t="s">
        <v>39</v>
      </c>
      <c r="D160" t="s">
        <v>18</v>
      </c>
      <c r="E160" s="1">
        <v>46169</v>
      </c>
      <c r="F160">
        <v>80932.62</v>
      </c>
      <c r="G160">
        <v>16</v>
      </c>
      <c r="H160">
        <v>12</v>
      </c>
      <c r="I160" t="s">
        <v>14</v>
      </c>
      <c r="J160">
        <v>51797</v>
      </c>
      <c r="K160">
        <f t="shared" ca="1" si="12"/>
        <v>15</v>
      </c>
      <c r="L160">
        <f t="shared" ca="1" si="13"/>
        <v>0</v>
      </c>
      <c r="M160" t="str">
        <f t="shared" ca="1" si="14"/>
        <v>Low</v>
      </c>
      <c r="N160">
        <f t="shared" ca="1" si="15"/>
        <v>0.12</v>
      </c>
      <c r="O160">
        <f t="shared" ca="1" si="16"/>
        <v>0</v>
      </c>
      <c r="P160">
        <f t="shared" ca="1" si="17"/>
        <v>0</v>
      </c>
    </row>
    <row r="161" spans="1:16" x14ac:dyDescent="0.3">
      <c r="A161" t="s">
        <v>315</v>
      </c>
      <c r="B161" t="s">
        <v>316</v>
      </c>
      <c r="C161" t="s">
        <v>70</v>
      </c>
      <c r="D161" t="s">
        <v>75</v>
      </c>
      <c r="E161" s="1">
        <v>45344</v>
      </c>
      <c r="F161">
        <v>43898.62</v>
      </c>
      <c r="G161">
        <v>13.32</v>
      </c>
      <c r="H161">
        <v>24</v>
      </c>
      <c r="I161" t="s">
        <v>14</v>
      </c>
      <c r="J161">
        <v>41704</v>
      </c>
      <c r="K161">
        <f t="shared" ca="1" si="12"/>
        <v>60</v>
      </c>
      <c r="L161">
        <f t="shared" ca="1" si="13"/>
        <v>0</v>
      </c>
      <c r="M161" t="str">
        <f t="shared" ca="1" si="14"/>
        <v>Medium</v>
      </c>
      <c r="N161">
        <f t="shared" ca="1" si="15"/>
        <v>2.4000000000000004</v>
      </c>
      <c r="O161">
        <f t="shared" ca="1" si="16"/>
        <v>0</v>
      </c>
      <c r="P161">
        <f t="shared" ca="1" si="17"/>
        <v>39508.758000000002</v>
      </c>
    </row>
    <row r="162" spans="1:16" x14ac:dyDescent="0.3">
      <c r="A162" t="s">
        <v>317</v>
      </c>
      <c r="B162" t="s">
        <v>318</v>
      </c>
      <c r="C162" t="s">
        <v>12</v>
      </c>
      <c r="D162" t="s">
        <v>13</v>
      </c>
      <c r="E162" s="1">
        <v>45416</v>
      </c>
      <c r="F162">
        <v>99067.24</v>
      </c>
      <c r="G162">
        <v>15.89</v>
      </c>
      <c r="H162">
        <v>180</v>
      </c>
      <c r="I162" t="s">
        <v>14</v>
      </c>
      <c r="J162">
        <v>37646</v>
      </c>
      <c r="K162">
        <f t="shared" ca="1" si="12"/>
        <v>0</v>
      </c>
      <c r="L162">
        <f t="shared" ca="1" si="13"/>
        <v>0</v>
      </c>
      <c r="M162" t="str">
        <f t="shared" ca="1" si="14"/>
        <v>Low</v>
      </c>
      <c r="N162">
        <f t="shared" ca="1" si="15"/>
        <v>1.8</v>
      </c>
      <c r="O162">
        <f t="shared" ca="1" si="16"/>
        <v>0</v>
      </c>
      <c r="P162">
        <f t="shared" ca="1" si="17"/>
        <v>0</v>
      </c>
    </row>
    <row r="163" spans="1:16" x14ac:dyDescent="0.3">
      <c r="A163" t="s">
        <v>319</v>
      </c>
      <c r="B163" t="s">
        <v>320</v>
      </c>
      <c r="C163" t="s">
        <v>39</v>
      </c>
      <c r="D163" t="s">
        <v>75</v>
      </c>
      <c r="E163" s="1">
        <v>46004</v>
      </c>
      <c r="F163">
        <v>34976.1</v>
      </c>
      <c r="G163">
        <v>7.82</v>
      </c>
      <c r="H163">
        <v>36</v>
      </c>
      <c r="I163" t="s">
        <v>14</v>
      </c>
      <c r="J163">
        <v>23084</v>
      </c>
      <c r="K163">
        <f t="shared" ca="1" si="12"/>
        <v>30</v>
      </c>
      <c r="L163">
        <f t="shared" ca="1" si="13"/>
        <v>0</v>
      </c>
      <c r="M163" t="str">
        <f t="shared" ca="1" si="14"/>
        <v>Medium</v>
      </c>
      <c r="N163">
        <f t="shared" ca="1" si="15"/>
        <v>1.8</v>
      </c>
      <c r="O163">
        <f t="shared" ca="1" si="16"/>
        <v>0</v>
      </c>
      <c r="P163">
        <f t="shared" ca="1" si="17"/>
        <v>26931.596999999998</v>
      </c>
    </row>
    <row r="164" spans="1:16" x14ac:dyDescent="0.3">
      <c r="A164" t="s">
        <v>321</v>
      </c>
      <c r="B164" t="s">
        <v>322</v>
      </c>
      <c r="C164" t="s">
        <v>123</v>
      </c>
      <c r="D164" t="s">
        <v>22</v>
      </c>
      <c r="E164" s="1">
        <v>45676</v>
      </c>
      <c r="F164">
        <v>74361.83</v>
      </c>
      <c r="G164">
        <v>4.8</v>
      </c>
      <c r="H164">
        <v>84</v>
      </c>
      <c r="I164" t="s">
        <v>19</v>
      </c>
      <c r="J164">
        <v>0</v>
      </c>
      <c r="K164">
        <f t="shared" ca="1" si="12"/>
        <v>0</v>
      </c>
      <c r="L164">
        <f t="shared" ca="1" si="13"/>
        <v>0</v>
      </c>
      <c r="M164" t="str">
        <f t="shared" ca="1" si="14"/>
        <v>Low</v>
      </c>
      <c r="N164">
        <f t="shared" ca="1" si="15"/>
        <v>0.84</v>
      </c>
      <c r="O164">
        <f t="shared" ca="1" si="16"/>
        <v>0</v>
      </c>
      <c r="P164">
        <f t="shared" ca="1" si="17"/>
        <v>54284.135900000001</v>
      </c>
    </row>
    <row r="165" spans="1:16" x14ac:dyDescent="0.3">
      <c r="A165" t="s">
        <v>323</v>
      </c>
      <c r="B165" t="s">
        <v>324</v>
      </c>
      <c r="C165" t="s">
        <v>12</v>
      </c>
      <c r="D165" t="s">
        <v>30</v>
      </c>
      <c r="E165" s="1">
        <v>45451</v>
      </c>
      <c r="F165">
        <v>53070.65</v>
      </c>
      <c r="G165">
        <v>16.28</v>
      </c>
      <c r="H165">
        <v>84</v>
      </c>
      <c r="I165" t="s">
        <v>27</v>
      </c>
      <c r="J165">
        <v>0</v>
      </c>
      <c r="K165">
        <f t="shared" ca="1" si="12"/>
        <v>15</v>
      </c>
      <c r="L165">
        <f t="shared" ca="1" si="13"/>
        <v>0</v>
      </c>
      <c r="M165" t="str">
        <f t="shared" ca="1" si="14"/>
        <v>Low</v>
      </c>
      <c r="N165">
        <f t="shared" ca="1" si="15"/>
        <v>0.84</v>
      </c>
      <c r="O165">
        <f t="shared" ca="1" si="16"/>
        <v>0</v>
      </c>
      <c r="P165">
        <f t="shared" ca="1" si="17"/>
        <v>0</v>
      </c>
    </row>
    <row r="166" spans="1:16" x14ac:dyDescent="0.3">
      <c r="A166" t="s">
        <v>325</v>
      </c>
      <c r="B166" t="s">
        <v>326</v>
      </c>
      <c r="C166" t="s">
        <v>25</v>
      </c>
      <c r="D166" t="s">
        <v>26</v>
      </c>
      <c r="E166" s="1">
        <v>46090</v>
      </c>
      <c r="F166">
        <v>74889.55</v>
      </c>
      <c r="G166">
        <v>20.96</v>
      </c>
      <c r="H166">
        <v>360</v>
      </c>
      <c r="I166" t="s">
        <v>14</v>
      </c>
      <c r="J166">
        <v>35198</v>
      </c>
      <c r="K166">
        <f t="shared" ca="1" si="12"/>
        <v>15</v>
      </c>
      <c r="L166">
        <f t="shared" ca="1" si="13"/>
        <v>0</v>
      </c>
      <c r="M166" t="str">
        <f t="shared" ca="1" si="14"/>
        <v>Low</v>
      </c>
      <c r="N166">
        <f t="shared" ca="1" si="15"/>
        <v>3.6</v>
      </c>
      <c r="O166">
        <f t="shared" ca="1" si="16"/>
        <v>0</v>
      </c>
      <c r="P166">
        <f t="shared" ca="1" si="17"/>
        <v>57664.953500000003</v>
      </c>
    </row>
    <row r="167" spans="1:16" x14ac:dyDescent="0.3">
      <c r="A167" t="s">
        <v>327</v>
      </c>
      <c r="B167" t="s">
        <v>328</v>
      </c>
      <c r="C167" t="s">
        <v>123</v>
      </c>
      <c r="D167" t="s">
        <v>75</v>
      </c>
      <c r="E167" s="1">
        <v>45603</v>
      </c>
      <c r="F167">
        <v>61298.29</v>
      </c>
      <c r="G167">
        <v>13.42</v>
      </c>
      <c r="H167">
        <v>36</v>
      </c>
      <c r="I167" t="s">
        <v>14</v>
      </c>
      <c r="J167">
        <v>44135</v>
      </c>
      <c r="K167">
        <f t="shared" ca="1" si="12"/>
        <v>15</v>
      </c>
      <c r="L167">
        <f t="shared" ca="1" si="13"/>
        <v>0</v>
      </c>
      <c r="M167" t="str">
        <f t="shared" ca="1" si="14"/>
        <v>Low</v>
      </c>
      <c r="N167">
        <f t="shared" ca="1" si="15"/>
        <v>0.36</v>
      </c>
      <c r="O167">
        <f t="shared" ca="1" si="16"/>
        <v>0</v>
      </c>
      <c r="P167">
        <f t="shared" ca="1" si="17"/>
        <v>59459.3413</v>
      </c>
    </row>
    <row r="168" spans="1:16" x14ac:dyDescent="0.3">
      <c r="A168" t="s">
        <v>329</v>
      </c>
      <c r="B168" t="s">
        <v>330</v>
      </c>
      <c r="C168" t="s">
        <v>12</v>
      </c>
      <c r="D168" t="s">
        <v>75</v>
      </c>
      <c r="E168" s="1">
        <v>46009</v>
      </c>
      <c r="F168">
        <v>9133.86</v>
      </c>
      <c r="G168">
        <v>7.77</v>
      </c>
      <c r="H168">
        <v>360</v>
      </c>
      <c r="I168" t="s">
        <v>14</v>
      </c>
      <c r="J168">
        <v>6028</v>
      </c>
      <c r="K168">
        <f t="shared" ca="1" si="12"/>
        <v>120</v>
      </c>
      <c r="L168">
        <f t="shared" ca="1" si="13"/>
        <v>1</v>
      </c>
      <c r="M168" t="str">
        <f t="shared" ca="1" si="14"/>
        <v>High</v>
      </c>
      <c r="N168">
        <f t="shared" ca="1" si="15"/>
        <v>90</v>
      </c>
      <c r="O168">
        <f t="shared" ca="1" si="16"/>
        <v>64.8</v>
      </c>
      <c r="P168">
        <f t="shared" ca="1" si="17"/>
        <v>6393.7020000000011</v>
      </c>
    </row>
    <row r="169" spans="1:16" x14ac:dyDescent="0.3">
      <c r="A169" t="s">
        <v>331</v>
      </c>
      <c r="B169" t="s">
        <v>332</v>
      </c>
      <c r="C169" t="s">
        <v>70</v>
      </c>
      <c r="D169" t="s">
        <v>18</v>
      </c>
      <c r="E169" s="1">
        <v>45876</v>
      </c>
      <c r="F169">
        <v>67169.05</v>
      </c>
      <c r="G169">
        <v>7.49</v>
      </c>
      <c r="H169">
        <v>24</v>
      </c>
      <c r="I169" t="s">
        <v>14</v>
      </c>
      <c r="J169">
        <v>63139</v>
      </c>
      <c r="K169">
        <f t="shared" ca="1" si="12"/>
        <v>15</v>
      </c>
      <c r="L169">
        <f t="shared" ca="1" si="13"/>
        <v>0</v>
      </c>
      <c r="M169" t="str">
        <f t="shared" ca="1" si="14"/>
        <v>Low</v>
      </c>
      <c r="N169">
        <f t="shared" ca="1" si="15"/>
        <v>0.24</v>
      </c>
      <c r="O169">
        <f t="shared" ca="1" si="16"/>
        <v>0</v>
      </c>
      <c r="P169">
        <f t="shared" ca="1" si="17"/>
        <v>0</v>
      </c>
    </row>
    <row r="170" spans="1:16" x14ac:dyDescent="0.3">
      <c r="A170" t="s">
        <v>333</v>
      </c>
      <c r="B170" t="s">
        <v>224</v>
      </c>
      <c r="C170" t="s">
        <v>12</v>
      </c>
      <c r="D170" t="s">
        <v>18</v>
      </c>
      <c r="E170" s="1">
        <v>46097</v>
      </c>
      <c r="F170">
        <v>49691.6</v>
      </c>
      <c r="G170">
        <v>4.99</v>
      </c>
      <c r="H170">
        <v>120</v>
      </c>
      <c r="I170" t="s">
        <v>14</v>
      </c>
      <c r="J170">
        <v>41741</v>
      </c>
      <c r="K170">
        <f t="shared" ca="1" si="12"/>
        <v>120</v>
      </c>
      <c r="L170">
        <f t="shared" ca="1" si="13"/>
        <v>1</v>
      </c>
      <c r="M170" t="str">
        <f t="shared" ca="1" si="14"/>
        <v>High</v>
      </c>
      <c r="N170">
        <f t="shared" ca="1" si="15"/>
        <v>30</v>
      </c>
      <c r="O170">
        <f t="shared" ca="1" si="16"/>
        <v>21.6</v>
      </c>
      <c r="P170">
        <f t="shared" ca="1" si="17"/>
        <v>0</v>
      </c>
    </row>
    <row r="171" spans="1:16" x14ac:dyDescent="0.3">
      <c r="A171" t="s">
        <v>334</v>
      </c>
      <c r="B171" t="s">
        <v>251</v>
      </c>
      <c r="C171" t="s">
        <v>51</v>
      </c>
      <c r="D171" t="s">
        <v>26</v>
      </c>
      <c r="E171" s="1">
        <v>45993</v>
      </c>
      <c r="F171">
        <v>6240.34</v>
      </c>
      <c r="G171">
        <v>10.38</v>
      </c>
      <c r="H171">
        <v>24</v>
      </c>
      <c r="I171" t="s">
        <v>14</v>
      </c>
      <c r="J171">
        <v>4431</v>
      </c>
      <c r="K171">
        <f t="shared" ca="1" si="12"/>
        <v>0</v>
      </c>
      <c r="L171">
        <f t="shared" ca="1" si="13"/>
        <v>0</v>
      </c>
      <c r="M171" t="str">
        <f t="shared" ca="1" si="14"/>
        <v>Low</v>
      </c>
      <c r="N171">
        <f t="shared" ca="1" si="15"/>
        <v>0.24</v>
      </c>
      <c r="O171">
        <f t="shared" ca="1" si="16"/>
        <v>0</v>
      </c>
      <c r="P171">
        <f t="shared" ca="1" si="17"/>
        <v>6427.5502000000006</v>
      </c>
    </row>
    <row r="172" spans="1:16" x14ac:dyDescent="0.3">
      <c r="A172" t="s">
        <v>335</v>
      </c>
      <c r="B172" t="s">
        <v>336</v>
      </c>
      <c r="C172" t="s">
        <v>123</v>
      </c>
      <c r="D172" t="s">
        <v>75</v>
      </c>
      <c r="E172" s="1">
        <v>45551</v>
      </c>
      <c r="F172">
        <v>61009.17</v>
      </c>
      <c r="G172">
        <v>5.54</v>
      </c>
      <c r="H172">
        <v>84</v>
      </c>
      <c r="I172" t="s">
        <v>27</v>
      </c>
      <c r="J172">
        <v>0</v>
      </c>
      <c r="K172">
        <f t="shared" ca="1" si="12"/>
        <v>45</v>
      </c>
      <c r="L172">
        <f t="shared" ca="1" si="13"/>
        <v>0</v>
      </c>
      <c r="M172" t="str">
        <f t="shared" ca="1" si="14"/>
        <v>Medium</v>
      </c>
      <c r="N172">
        <f t="shared" ca="1" si="15"/>
        <v>4.2</v>
      </c>
      <c r="O172">
        <f t="shared" ca="1" si="16"/>
        <v>0</v>
      </c>
      <c r="P172">
        <f t="shared" ca="1" si="17"/>
        <v>57348.619799999993</v>
      </c>
    </row>
    <row r="173" spans="1:16" x14ac:dyDescent="0.3">
      <c r="A173" t="s">
        <v>337</v>
      </c>
      <c r="B173" t="s">
        <v>338</v>
      </c>
      <c r="C173" t="s">
        <v>36</v>
      </c>
      <c r="D173" t="s">
        <v>18</v>
      </c>
      <c r="E173" s="1">
        <v>45753</v>
      </c>
      <c r="F173">
        <v>91907.86</v>
      </c>
      <c r="G173">
        <v>12.3</v>
      </c>
      <c r="H173">
        <v>48</v>
      </c>
      <c r="I173" t="s">
        <v>27</v>
      </c>
      <c r="J173">
        <v>0</v>
      </c>
      <c r="K173">
        <f t="shared" ca="1" si="12"/>
        <v>90</v>
      </c>
      <c r="L173">
        <f t="shared" ca="1" si="13"/>
        <v>1</v>
      </c>
      <c r="M173" t="str">
        <f t="shared" ca="1" si="14"/>
        <v>High</v>
      </c>
      <c r="N173">
        <f t="shared" ca="1" si="15"/>
        <v>12</v>
      </c>
      <c r="O173">
        <f t="shared" ca="1" si="16"/>
        <v>11.04</v>
      </c>
      <c r="P173">
        <f t="shared" ca="1" si="17"/>
        <v>0</v>
      </c>
    </row>
    <row r="174" spans="1:16" x14ac:dyDescent="0.3">
      <c r="A174" t="s">
        <v>339</v>
      </c>
      <c r="B174" t="s">
        <v>144</v>
      </c>
      <c r="C174" t="s">
        <v>33</v>
      </c>
      <c r="D174" t="s">
        <v>18</v>
      </c>
      <c r="E174" s="1">
        <v>45938</v>
      </c>
      <c r="F174">
        <v>32340.16</v>
      </c>
      <c r="G174">
        <v>13.32</v>
      </c>
      <c r="H174">
        <v>36</v>
      </c>
      <c r="I174" t="s">
        <v>14</v>
      </c>
      <c r="J174">
        <v>14876</v>
      </c>
      <c r="K174">
        <f t="shared" ca="1" si="12"/>
        <v>0</v>
      </c>
      <c r="L174">
        <f t="shared" ca="1" si="13"/>
        <v>0</v>
      </c>
      <c r="M174" t="str">
        <f t="shared" ca="1" si="14"/>
        <v>Low</v>
      </c>
      <c r="N174">
        <f t="shared" ca="1" si="15"/>
        <v>0.36</v>
      </c>
      <c r="O174">
        <f t="shared" ca="1" si="16"/>
        <v>0</v>
      </c>
      <c r="P174">
        <f t="shared" ca="1" si="17"/>
        <v>0</v>
      </c>
    </row>
    <row r="175" spans="1:16" x14ac:dyDescent="0.3">
      <c r="A175" t="s">
        <v>340</v>
      </c>
      <c r="B175" t="s">
        <v>341</v>
      </c>
      <c r="C175" t="s">
        <v>36</v>
      </c>
      <c r="D175" t="s">
        <v>22</v>
      </c>
      <c r="E175" s="1">
        <v>46007</v>
      </c>
      <c r="F175">
        <v>79287.100000000006</v>
      </c>
      <c r="G175">
        <v>9.0500000000000007</v>
      </c>
      <c r="H175">
        <v>120</v>
      </c>
      <c r="I175" t="s">
        <v>14</v>
      </c>
      <c r="J175">
        <v>30922</v>
      </c>
      <c r="K175">
        <f t="shared" ca="1" si="12"/>
        <v>30</v>
      </c>
      <c r="L175">
        <f t="shared" ca="1" si="13"/>
        <v>0</v>
      </c>
      <c r="M175" t="str">
        <f t="shared" ca="1" si="14"/>
        <v>Medium</v>
      </c>
      <c r="N175">
        <f t="shared" ca="1" si="15"/>
        <v>6</v>
      </c>
      <c r="O175">
        <f t="shared" ca="1" si="16"/>
        <v>0</v>
      </c>
      <c r="P175">
        <f t="shared" ca="1" si="17"/>
        <v>89594.42300000001</v>
      </c>
    </row>
    <row r="176" spans="1:16" x14ac:dyDescent="0.3">
      <c r="A176" t="s">
        <v>342</v>
      </c>
      <c r="B176" t="s">
        <v>343</v>
      </c>
      <c r="C176" t="s">
        <v>12</v>
      </c>
      <c r="D176" t="s">
        <v>13</v>
      </c>
      <c r="E176" s="1">
        <v>45537</v>
      </c>
      <c r="F176">
        <v>72372.91</v>
      </c>
      <c r="G176">
        <v>16.350000000000001</v>
      </c>
      <c r="H176">
        <v>60</v>
      </c>
      <c r="I176" t="s">
        <v>19</v>
      </c>
      <c r="J176">
        <v>0</v>
      </c>
      <c r="K176">
        <f t="shared" ca="1" si="12"/>
        <v>0</v>
      </c>
      <c r="L176">
        <f t="shared" ca="1" si="13"/>
        <v>0</v>
      </c>
      <c r="M176" t="str">
        <f t="shared" ca="1" si="14"/>
        <v>Low</v>
      </c>
      <c r="N176">
        <f t="shared" ca="1" si="15"/>
        <v>0.6</v>
      </c>
      <c r="O176">
        <f t="shared" ca="1" si="16"/>
        <v>0</v>
      </c>
      <c r="P176">
        <f t="shared" ca="1" si="17"/>
        <v>0</v>
      </c>
    </row>
    <row r="177" spans="1:16" x14ac:dyDescent="0.3">
      <c r="A177" t="s">
        <v>344</v>
      </c>
      <c r="B177" t="s">
        <v>345</v>
      </c>
      <c r="C177" t="s">
        <v>54</v>
      </c>
      <c r="D177" t="s">
        <v>22</v>
      </c>
      <c r="E177" s="1">
        <v>45599</v>
      </c>
      <c r="F177">
        <v>72567.759999999995</v>
      </c>
      <c r="G177">
        <v>21.49</v>
      </c>
      <c r="H177">
        <v>60</v>
      </c>
      <c r="I177" t="s">
        <v>27</v>
      </c>
      <c r="J177">
        <v>0</v>
      </c>
      <c r="K177">
        <f t="shared" ca="1" si="12"/>
        <v>0</v>
      </c>
      <c r="L177">
        <f t="shared" ca="1" si="13"/>
        <v>0</v>
      </c>
      <c r="M177" t="str">
        <f t="shared" ca="1" si="14"/>
        <v>Low</v>
      </c>
      <c r="N177">
        <f t="shared" ca="1" si="15"/>
        <v>0.6</v>
      </c>
      <c r="O177">
        <f t="shared" ca="1" si="16"/>
        <v>0</v>
      </c>
      <c r="P177">
        <f t="shared" ca="1" si="17"/>
        <v>52248.787199999999</v>
      </c>
    </row>
    <row r="178" spans="1:16" x14ac:dyDescent="0.3">
      <c r="A178" t="s">
        <v>346</v>
      </c>
      <c r="B178" t="s">
        <v>347</v>
      </c>
      <c r="C178" t="s">
        <v>39</v>
      </c>
      <c r="D178" t="s">
        <v>22</v>
      </c>
      <c r="E178" s="1">
        <v>46056</v>
      </c>
      <c r="F178">
        <v>67671.7</v>
      </c>
      <c r="G178">
        <v>19.2</v>
      </c>
      <c r="H178">
        <v>12</v>
      </c>
      <c r="I178" t="s">
        <v>27</v>
      </c>
      <c r="J178">
        <v>0</v>
      </c>
      <c r="K178">
        <f t="shared" ca="1" si="12"/>
        <v>0</v>
      </c>
      <c r="L178">
        <f t="shared" ca="1" si="13"/>
        <v>0</v>
      </c>
      <c r="M178" t="str">
        <f t="shared" ca="1" si="14"/>
        <v>Low</v>
      </c>
      <c r="N178">
        <f t="shared" ca="1" si="15"/>
        <v>0.12</v>
      </c>
      <c r="O178">
        <f t="shared" ca="1" si="16"/>
        <v>0</v>
      </c>
      <c r="P178">
        <f t="shared" ca="1" si="17"/>
        <v>81882.756999999998</v>
      </c>
    </row>
    <row r="179" spans="1:16" x14ac:dyDescent="0.3">
      <c r="A179" t="s">
        <v>348</v>
      </c>
      <c r="B179" t="s">
        <v>349</v>
      </c>
      <c r="C179" t="s">
        <v>39</v>
      </c>
      <c r="D179" t="s">
        <v>26</v>
      </c>
      <c r="E179" s="1">
        <v>46084</v>
      </c>
      <c r="F179">
        <v>75592.75</v>
      </c>
      <c r="G179">
        <v>19.57</v>
      </c>
      <c r="H179">
        <v>36</v>
      </c>
      <c r="I179" t="s">
        <v>27</v>
      </c>
      <c r="J179">
        <v>0</v>
      </c>
      <c r="K179">
        <f t="shared" ca="1" si="12"/>
        <v>30</v>
      </c>
      <c r="L179">
        <f t="shared" ca="1" si="13"/>
        <v>0</v>
      </c>
      <c r="M179" t="str">
        <f t="shared" ca="1" si="14"/>
        <v>Medium</v>
      </c>
      <c r="N179">
        <f t="shared" ca="1" si="15"/>
        <v>1.8</v>
      </c>
      <c r="O179">
        <f t="shared" ca="1" si="16"/>
        <v>0</v>
      </c>
      <c r="P179">
        <f t="shared" ca="1" si="17"/>
        <v>85419.807499999995</v>
      </c>
    </row>
    <row r="180" spans="1:16" x14ac:dyDescent="0.3">
      <c r="A180" t="s">
        <v>350</v>
      </c>
      <c r="B180" t="s">
        <v>351</v>
      </c>
      <c r="C180" t="s">
        <v>36</v>
      </c>
      <c r="D180" t="s">
        <v>18</v>
      </c>
      <c r="E180" s="1">
        <v>45462</v>
      </c>
      <c r="F180">
        <v>29408.28</v>
      </c>
      <c r="G180">
        <v>11.4</v>
      </c>
      <c r="H180">
        <v>12</v>
      </c>
      <c r="I180" t="s">
        <v>14</v>
      </c>
      <c r="J180">
        <v>25291</v>
      </c>
      <c r="K180">
        <f t="shared" ca="1" si="12"/>
        <v>120</v>
      </c>
      <c r="L180">
        <f t="shared" ca="1" si="13"/>
        <v>1</v>
      </c>
      <c r="M180" t="str">
        <f t="shared" ca="1" si="14"/>
        <v>High</v>
      </c>
      <c r="N180">
        <f t="shared" ca="1" si="15"/>
        <v>3</v>
      </c>
      <c r="O180">
        <f t="shared" ca="1" si="16"/>
        <v>1.92</v>
      </c>
      <c r="P180">
        <f t="shared" ca="1" si="17"/>
        <v>0</v>
      </c>
    </row>
    <row r="181" spans="1:16" x14ac:dyDescent="0.3">
      <c r="A181" t="s">
        <v>352</v>
      </c>
      <c r="B181" t="s">
        <v>353</v>
      </c>
      <c r="C181" t="s">
        <v>17</v>
      </c>
      <c r="D181" t="s">
        <v>22</v>
      </c>
      <c r="E181" s="1">
        <v>45355</v>
      </c>
      <c r="F181">
        <v>15822.76</v>
      </c>
      <c r="G181">
        <v>13.4</v>
      </c>
      <c r="H181">
        <v>84</v>
      </c>
      <c r="I181" t="s">
        <v>14</v>
      </c>
      <c r="J181">
        <v>8544</v>
      </c>
      <c r="K181">
        <f t="shared" ca="1" si="12"/>
        <v>90</v>
      </c>
      <c r="L181">
        <f t="shared" ca="1" si="13"/>
        <v>1</v>
      </c>
      <c r="M181" t="str">
        <f t="shared" ca="1" si="14"/>
        <v>High</v>
      </c>
      <c r="N181">
        <f t="shared" ca="1" si="15"/>
        <v>21</v>
      </c>
      <c r="O181">
        <f t="shared" ca="1" si="16"/>
        <v>24.36</v>
      </c>
      <c r="P181">
        <f t="shared" ca="1" si="17"/>
        <v>15189.8496</v>
      </c>
    </row>
    <row r="182" spans="1:16" x14ac:dyDescent="0.3">
      <c r="A182" t="s">
        <v>354</v>
      </c>
      <c r="B182" t="s">
        <v>109</v>
      </c>
      <c r="C182" t="s">
        <v>12</v>
      </c>
      <c r="D182" t="s">
        <v>22</v>
      </c>
      <c r="E182" s="1">
        <v>46180</v>
      </c>
      <c r="F182">
        <v>46269.99</v>
      </c>
      <c r="G182">
        <v>10.86</v>
      </c>
      <c r="H182">
        <v>36</v>
      </c>
      <c r="I182" t="s">
        <v>14</v>
      </c>
      <c r="J182">
        <v>30075</v>
      </c>
      <c r="K182">
        <f t="shared" ca="1" si="12"/>
        <v>30</v>
      </c>
      <c r="L182">
        <f t="shared" ca="1" si="13"/>
        <v>0</v>
      </c>
      <c r="M182" t="str">
        <f t="shared" ca="1" si="14"/>
        <v>Medium</v>
      </c>
      <c r="N182">
        <f t="shared" ca="1" si="15"/>
        <v>1.8</v>
      </c>
      <c r="O182">
        <f t="shared" ca="1" si="16"/>
        <v>0</v>
      </c>
      <c r="P182">
        <f t="shared" ca="1" si="17"/>
        <v>50896.988999999994</v>
      </c>
    </row>
    <row r="183" spans="1:16" x14ac:dyDescent="0.3">
      <c r="A183" t="s">
        <v>355</v>
      </c>
      <c r="B183" t="s">
        <v>356</v>
      </c>
      <c r="C183" t="s">
        <v>39</v>
      </c>
      <c r="D183" t="s">
        <v>22</v>
      </c>
      <c r="E183" s="1">
        <v>46039</v>
      </c>
      <c r="F183">
        <v>97441.26</v>
      </c>
      <c r="G183">
        <v>17.57</v>
      </c>
      <c r="H183">
        <v>120</v>
      </c>
      <c r="I183" t="s">
        <v>27</v>
      </c>
      <c r="J183">
        <v>0</v>
      </c>
      <c r="K183">
        <f t="shared" ca="1" si="12"/>
        <v>45</v>
      </c>
      <c r="L183">
        <f t="shared" ca="1" si="13"/>
        <v>0</v>
      </c>
      <c r="M183" t="str">
        <f t="shared" ca="1" si="14"/>
        <v>Medium</v>
      </c>
      <c r="N183">
        <f t="shared" ca="1" si="15"/>
        <v>6</v>
      </c>
      <c r="O183">
        <f t="shared" ca="1" si="16"/>
        <v>0</v>
      </c>
      <c r="P183">
        <f t="shared" ca="1" si="17"/>
        <v>110108.62379999999</v>
      </c>
    </row>
    <row r="184" spans="1:16" x14ac:dyDescent="0.3">
      <c r="A184" t="s">
        <v>357</v>
      </c>
      <c r="B184" t="s">
        <v>358</v>
      </c>
      <c r="C184" t="s">
        <v>33</v>
      </c>
      <c r="D184" t="s">
        <v>22</v>
      </c>
      <c r="E184" s="1">
        <v>46166</v>
      </c>
      <c r="F184">
        <v>25593.01</v>
      </c>
      <c r="G184">
        <v>13.17</v>
      </c>
      <c r="H184">
        <v>60</v>
      </c>
      <c r="I184" t="s">
        <v>14</v>
      </c>
      <c r="J184">
        <v>11005</v>
      </c>
      <c r="K184">
        <f t="shared" ca="1" si="12"/>
        <v>90</v>
      </c>
      <c r="L184">
        <f t="shared" ca="1" si="13"/>
        <v>1</v>
      </c>
      <c r="M184" t="str">
        <f t="shared" ca="1" si="14"/>
        <v>High</v>
      </c>
      <c r="N184">
        <f t="shared" ca="1" si="15"/>
        <v>15</v>
      </c>
      <c r="O184">
        <f t="shared" ca="1" si="16"/>
        <v>7.8</v>
      </c>
      <c r="P184">
        <f t="shared" ca="1" si="17"/>
        <v>26616.7304</v>
      </c>
    </row>
    <row r="185" spans="1:16" x14ac:dyDescent="0.3">
      <c r="A185" t="s">
        <v>359</v>
      </c>
      <c r="B185" t="s">
        <v>360</v>
      </c>
      <c r="C185" t="s">
        <v>12</v>
      </c>
      <c r="D185" t="s">
        <v>13</v>
      </c>
      <c r="E185" s="1">
        <v>45501</v>
      </c>
      <c r="F185">
        <v>74761.53</v>
      </c>
      <c r="G185">
        <v>16.829999999999998</v>
      </c>
      <c r="H185">
        <v>84</v>
      </c>
      <c r="I185" t="s">
        <v>14</v>
      </c>
      <c r="J185">
        <v>26167</v>
      </c>
      <c r="K185">
        <f t="shared" ca="1" si="12"/>
        <v>0</v>
      </c>
      <c r="L185">
        <f t="shared" ca="1" si="13"/>
        <v>0</v>
      </c>
      <c r="M185" t="str">
        <f t="shared" ca="1" si="14"/>
        <v>Low</v>
      </c>
      <c r="N185">
        <f t="shared" ca="1" si="15"/>
        <v>0.84</v>
      </c>
      <c r="O185">
        <f t="shared" ca="1" si="16"/>
        <v>0</v>
      </c>
      <c r="P185">
        <f t="shared" ca="1" si="17"/>
        <v>0</v>
      </c>
    </row>
    <row r="186" spans="1:16" x14ac:dyDescent="0.3">
      <c r="A186" t="s">
        <v>361</v>
      </c>
      <c r="B186" t="s">
        <v>362</v>
      </c>
      <c r="C186" t="s">
        <v>17</v>
      </c>
      <c r="D186" t="s">
        <v>30</v>
      </c>
      <c r="E186" s="1">
        <v>45369</v>
      </c>
      <c r="F186">
        <v>79006.64</v>
      </c>
      <c r="G186">
        <v>8.82</v>
      </c>
      <c r="H186">
        <v>36</v>
      </c>
      <c r="I186" t="s">
        <v>14</v>
      </c>
      <c r="J186">
        <v>38713</v>
      </c>
      <c r="K186">
        <f t="shared" ca="1" si="12"/>
        <v>30</v>
      </c>
      <c r="L186">
        <f t="shared" ca="1" si="13"/>
        <v>0</v>
      </c>
      <c r="M186" t="str">
        <f t="shared" ca="1" si="14"/>
        <v>Medium</v>
      </c>
      <c r="N186">
        <f t="shared" ca="1" si="15"/>
        <v>1.8</v>
      </c>
      <c r="O186">
        <f t="shared" ca="1" si="16"/>
        <v>0</v>
      </c>
      <c r="P186">
        <f t="shared" ca="1" si="17"/>
        <v>0</v>
      </c>
    </row>
    <row r="187" spans="1:16" x14ac:dyDescent="0.3">
      <c r="A187" t="s">
        <v>363</v>
      </c>
      <c r="B187" t="s">
        <v>364</v>
      </c>
      <c r="C187" t="s">
        <v>25</v>
      </c>
      <c r="D187" t="s">
        <v>75</v>
      </c>
      <c r="E187" s="1">
        <v>46049</v>
      </c>
      <c r="F187">
        <v>70574.070000000007</v>
      </c>
      <c r="G187">
        <v>9.43</v>
      </c>
      <c r="H187">
        <v>72</v>
      </c>
      <c r="I187" t="s">
        <v>14</v>
      </c>
      <c r="J187">
        <v>35287</v>
      </c>
      <c r="K187">
        <f t="shared" ca="1" si="12"/>
        <v>15</v>
      </c>
      <c r="L187">
        <f t="shared" ca="1" si="13"/>
        <v>0</v>
      </c>
      <c r="M187" t="str">
        <f t="shared" ca="1" si="14"/>
        <v>Low</v>
      </c>
      <c r="N187">
        <f t="shared" ca="1" si="15"/>
        <v>0.72</v>
      </c>
      <c r="O187">
        <f t="shared" ca="1" si="16"/>
        <v>0</v>
      </c>
      <c r="P187">
        <f t="shared" ca="1" si="17"/>
        <v>49401.849000000002</v>
      </c>
    </row>
    <row r="188" spans="1:16" x14ac:dyDescent="0.3">
      <c r="A188" t="s">
        <v>365</v>
      </c>
      <c r="B188" t="s">
        <v>366</v>
      </c>
      <c r="C188" t="s">
        <v>70</v>
      </c>
      <c r="D188" t="s">
        <v>75</v>
      </c>
      <c r="E188" s="1">
        <v>45667</v>
      </c>
      <c r="F188">
        <v>62549.74</v>
      </c>
      <c r="G188">
        <v>7.77</v>
      </c>
      <c r="H188">
        <v>60</v>
      </c>
      <c r="I188" t="s">
        <v>14</v>
      </c>
      <c r="J188">
        <v>58171</v>
      </c>
      <c r="K188">
        <f t="shared" ca="1" si="12"/>
        <v>0</v>
      </c>
      <c r="L188">
        <f t="shared" ca="1" si="13"/>
        <v>0</v>
      </c>
      <c r="M188" t="str">
        <f t="shared" ca="1" si="14"/>
        <v>Low</v>
      </c>
      <c r="N188">
        <f t="shared" ca="1" si="15"/>
        <v>0.6</v>
      </c>
      <c r="O188">
        <f t="shared" ca="1" si="16"/>
        <v>0</v>
      </c>
      <c r="P188">
        <f t="shared" ca="1" si="17"/>
        <v>64426.232199999999</v>
      </c>
    </row>
    <row r="189" spans="1:16" x14ac:dyDescent="0.3">
      <c r="A189" t="s">
        <v>367</v>
      </c>
      <c r="B189" t="s">
        <v>343</v>
      </c>
      <c r="C189" t="s">
        <v>70</v>
      </c>
      <c r="D189" t="s">
        <v>22</v>
      </c>
      <c r="E189" s="1">
        <v>45699</v>
      </c>
      <c r="F189">
        <v>57123.31</v>
      </c>
      <c r="G189">
        <v>21.42</v>
      </c>
      <c r="H189">
        <v>120</v>
      </c>
      <c r="I189" t="s">
        <v>14</v>
      </c>
      <c r="J189">
        <v>52553</v>
      </c>
      <c r="K189">
        <f t="shared" ca="1" si="12"/>
        <v>45</v>
      </c>
      <c r="L189">
        <f t="shared" ca="1" si="13"/>
        <v>0</v>
      </c>
      <c r="M189" t="str">
        <f t="shared" ca="1" si="14"/>
        <v>Medium</v>
      </c>
      <c r="N189">
        <f t="shared" ca="1" si="15"/>
        <v>6</v>
      </c>
      <c r="O189">
        <f t="shared" ca="1" si="16"/>
        <v>0</v>
      </c>
      <c r="P189">
        <f t="shared" ca="1" si="17"/>
        <v>42842.482499999998</v>
      </c>
    </row>
    <row r="190" spans="1:16" x14ac:dyDescent="0.3">
      <c r="A190" t="s">
        <v>368</v>
      </c>
      <c r="B190" t="s">
        <v>369</v>
      </c>
      <c r="C190" t="s">
        <v>39</v>
      </c>
      <c r="D190" t="s">
        <v>30</v>
      </c>
      <c r="E190" s="1">
        <v>45404</v>
      </c>
      <c r="F190">
        <v>98361.46</v>
      </c>
      <c r="G190">
        <v>12.24</v>
      </c>
      <c r="H190">
        <v>36</v>
      </c>
      <c r="I190" t="s">
        <v>27</v>
      </c>
      <c r="J190">
        <v>0</v>
      </c>
      <c r="K190">
        <f t="shared" ca="1" si="12"/>
        <v>0</v>
      </c>
      <c r="L190">
        <f t="shared" ca="1" si="13"/>
        <v>0</v>
      </c>
      <c r="M190" t="str">
        <f t="shared" ca="1" si="14"/>
        <v>Low</v>
      </c>
      <c r="N190">
        <f t="shared" ca="1" si="15"/>
        <v>0.36</v>
      </c>
      <c r="O190">
        <f t="shared" ca="1" si="16"/>
        <v>0</v>
      </c>
      <c r="P190">
        <f t="shared" ca="1" si="17"/>
        <v>0</v>
      </c>
    </row>
    <row r="191" spans="1:16" x14ac:dyDescent="0.3">
      <c r="A191" t="s">
        <v>370</v>
      </c>
      <c r="B191" t="s">
        <v>371</v>
      </c>
      <c r="C191" t="s">
        <v>39</v>
      </c>
      <c r="D191" t="s">
        <v>75</v>
      </c>
      <c r="E191" s="1">
        <v>45463</v>
      </c>
      <c r="F191">
        <v>2276.06</v>
      </c>
      <c r="G191">
        <v>11.3</v>
      </c>
      <c r="H191">
        <v>12</v>
      </c>
      <c r="I191" t="s">
        <v>14</v>
      </c>
      <c r="J191">
        <v>1161</v>
      </c>
      <c r="K191">
        <f t="shared" ca="1" si="12"/>
        <v>60</v>
      </c>
      <c r="L191">
        <f t="shared" ca="1" si="13"/>
        <v>0</v>
      </c>
      <c r="M191" t="str">
        <f t="shared" ca="1" si="14"/>
        <v>Medium</v>
      </c>
      <c r="N191">
        <f t="shared" ca="1" si="15"/>
        <v>1.2000000000000002</v>
      </c>
      <c r="O191">
        <f t="shared" ca="1" si="16"/>
        <v>0</v>
      </c>
      <c r="P191">
        <f t="shared" ca="1" si="17"/>
        <v>2526.4266000000002</v>
      </c>
    </row>
    <row r="192" spans="1:16" x14ac:dyDescent="0.3">
      <c r="A192" t="s">
        <v>372</v>
      </c>
      <c r="B192" t="s">
        <v>373</v>
      </c>
      <c r="C192" t="s">
        <v>51</v>
      </c>
      <c r="D192" t="s">
        <v>26</v>
      </c>
      <c r="E192" s="1">
        <v>46165</v>
      </c>
      <c r="F192">
        <v>12862.76</v>
      </c>
      <c r="G192">
        <v>18.079999999999998</v>
      </c>
      <c r="H192">
        <v>120</v>
      </c>
      <c r="I192" t="s">
        <v>27</v>
      </c>
      <c r="J192">
        <v>0</v>
      </c>
      <c r="K192">
        <f t="shared" ca="1" si="12"/>
        <v>120</v>
      </c>
      <c r="L192">
        <f t="shared" ca="1" si="13"/>
        <v>1</v>
      </c>
      <c r="M192" t="str">
        <f t="shared" ca="1" si="14"/>
        <v>High</v>
      </c>
      <c r="N192">
        <f t="shared" ca="1" si="15"/>
        <v>30</v>
      </c>
      <c r="O192">
        <f t="shared" ca="1" si="16"/>
        <v>27.6</v>
      </c>
      <c r="P192">
        <f t="shared" ca="1" si="17"/>
        <v>16464.3328</v>
      </c>
    </row>
    <row r="193" spans="1:16" x14ac:dyDescent="0.3">
      <c r="A193" t="s">
        <v>374</v>
      </c>
      <c r="B193" t="s">
        <v>375</v>
      </c>
      <c r="C193" t="s">
        <v>33</v>
      </c>
      <c r="D193" t="s">
        <v>22</v>
      </c>
      <c r="E193" s="1">
        <v>45690</v>
      </c>
      <c r="F193">
        <v>13884.47</v>
      </c>
      <c r="G193">
        <v>13.93</v>
      </c>
      <c r="H193">
        <v>180</v>
      </c>
      <c r="I193" t="s">
        <v>14</v>
      </c>
      <c r="J193">
        <v>6803</v>
      </c>
      <c r="K193">
        <f t="shared" ca="1" si="12"/>
        <v>120</v>
      </c>
      <c r="L193">
        <f t="shared" ca="1" si="13"/>
        <v>1</v>
      </c>
      <c r="M193" t="str">
        <f t="shared" ca="1" si="14"/>
        <v>High</v>
      </c>
      <c r="N193">
        <f t="shared" ca="1" si="15"/>
        <v>45</v>
      </c>
      <c r="O193">
        <f t="shared" ca="1" si="16"/>
        <v>34.200000000000003</v>
      </c>
      <c r="P193">
        <f t="shared" ca="1" si="17"/>
        <v>14856.382900000001</v>
      </c>
    </row>
    <row r="194" spans="1:16" x14ac:dyDescent="0.3">
      <c r="A194" t="s">
        <v>376</v>
      </c>
      <c r="B194" t="s">
        <v>377</v>
      </c>
      <c r="C194" t="s">
        <v>25</v>
      </c>
      <c r="D194" t="s">
        <v>75</v>
      </c>
      <c r="E194" s="1">
        <v>45575</v>
      </c>
      <c r="F194">
        <v>21953.06</v>
      </c>
      <c r="G194">
        <v>8.69</v>
      </c>
      <c r="H194">
        <v>60</v>
      </c>
      <c r="I194" t="s">
        <v>19</v>
      </c>
      <c r="J194">
        <v>0</v>
      </c>
      <c r="K194">
        <f t="shared" ca="1" si="12"/>
        <v>0</v>
      </c>
      <c r="L194">
        <f t="shared" ca="1" si="13"/>
        <v>0</v>
      </c>
      <c r="M194" t="str">
        <f t="shared" ca="1" si="14"/>
        <v>Low</v>
      </c>
      <c r="N194">
        <f t="shared" ca="1" si="15"/>
        <v>0.6</v>
      </c>
      <c r="O194">
        <f t="shared" ca="1" si="16"/>
        <v>0</v>
      </c>
      <c r="P194">
        <f t="shared" ca="1" si="17"/>
        <v>26124.1414</v>
      </c>
    </row>
    <row r="195" spans="1:16" x14ac:dyDescent="0.3">
      <c r="A195" t="s">
        <v>378</v>
      </c>
      <c r="B195" t="s">
        <v>379</v>
      </c>
      <c r="C195" t="s">
        <v>39</v>
      </c>
      <c r="D195" t="s">
        <v>13</v>
      </c>
      <c r="E195" s="1">
        <v>45339</v>
      </c>
      <c r="F195">
        <v>19462.95</v>
      </c>
      <c r="G195">
        <v>11.36</v>
      </c>
      <c r="H195">
        <v>36</v>
      </c>
      <c r="I195" t="s">
        <v>27</v>
      </c>
      <c r="J195">
        <v>0</v>
      </c>
      <c r="K195">
        <f t="shared" ref="K195:K258" ca="1" si="18">IF(I195="Paid Off",0,CHOOSE(RANDBETWEEN(1,10),0,0,0,0,15,30,45,60,90,120))</f>
        <v>0</v>
      </c>
      <c r="L195">
        <f t="shared" ref="L195:L258" ca="1" si="19">IF(K195&gt;=90,1,0)</f>
        <v>0</v>
      </c>
      <c r="M195" t="str">
        <f t="shared" ref="M195:M258" ca="1" si="20">IF(K195&gt;=90,"High",IF(K195&gt;=30,"Medium","Low"))</f>
        <v>Low</v>
      </c>
      <c r="N195">
        <f t="shared" ref="N195:N258" ca="1" si="21">IF(L195=1,H195*0.25,IF(K195&gt;=60,H195*0.1,IF(K195&gt;=30,H195*0.05,H195*0.01)))</f>
        <v>0.36</v>
      </c>
      <c r="O195">
        <f t="shared" ref="O195:O258" ca="1" si="22">IF(L195=1,H195*RANDBETWEEN(5,30)/100,0)</f>
        <v>0</v>
      </c>
      <c r="P195">
        <f t="shared" ref="P195:P258" ca="1" si="23">IF(OR(D195="P02",D195="P03",D195="P05"),F195*RANDBETWEEN(70,130)/100,0)</f>
        <v>0</v>
      </c>
    </row>
    <row r="196" spans="1:16" x14ac:dyDescent="0.3">
      <c r="A196" t="s">
        <v>380</v>
      </c>
      <c r="B196" t="s">
        <v>381</v>
      </c>
      <c r="C196" t="s">
        <v>39</v>
      </c>
      <c r="D196" t="s">
        <v>30</v>
      </c>
      <c r="E196" s="1">
        <v>46008</v>
      </c>
      <c r="F196">
        <v>3988.65</v>
      </c>
      <c r="G196">
        <v>14.92</v>
      </c>
      <c r="H196">
        <v>24</v>
      </c>
      <c r="I196" t="s">
        <v>14</v>
      </c>
      <c r="J196">
        <v>3590</v>
      </c>
      <c r="K196">
        <f t="shared" ca="1" si="18"/>
        <v>60</v>
      </c>
      <c r="L196">
        <f t="shared" ca="1" si="19"/>
        <v>0</v>
      </c>
      <c r="M196" t="str">
        <f t="shared" ca="1" si="20"/>
        <v>Medium</v>
      </c>
      <c r="N196">
        <f t="shared" ca="1" si="21"/>
        <v>2.4000000000000004</v>
      </c>
      <c r="O196">
        <f t="shared" ca="1" si="22"/>
        <v>0</v>
      </c>
      <c r="P196">
        <f t="shared" ca="1" si="23"/>
        <v>0</v>
      </c>
    </row>
    <row r="197" spans="1:16" x14ac:dyDescent="0.3">
      <c r="A197" t="s">
        <v>382</v>
      </c>
      <c r="B197" t="s">
        <v>383</v>
      </c>
      <c r="C197" t="s">
        <v>70</v>
      </c>
      <c r="D197" t="s">
        <v>75</v>
      </c>
      <c r="E197" s="1">
        <v>45748</v>
      </c>
      <c r="F197">
        <v>59180.5</v>
      </c>
      <c r="G197">
        <v>20.78</v>
      </c>
      <c r="H197">
        <v>48</v>
      </c>
      <c r="I197" t="s">
        <v>14</v>
      </c>
      <c r="J197">
        <v>34325</v>
      </c>
      <c r="K197">
        <f t="shared" ca="1" si="18"/>
        <v>0</v>
      </c>
      <c r="L197">
        <f t="shared" ca="1" si="19"/>
        <v>0</v>
      </c>
      <c r="M197" t="str">
        <f t="shared" ca="1" si="20"/>
        <v>Low</v>
      </c>
      <c r="N197">
        <f t="shared" ca="1" si="21"/>
        <v>0.48</v>
      </c>
      <c r="O197">
        <f t="shared" ca="1" si="22"/>
        <v>0</v>
      </c>
      <c r="P197">
        <f t="shared" ca="1" si="23"/>
        <v>76342.845000000001</v>
      </c>
    </row>
    <row r="198" spans="1:16" x14ac:dyDescent="0.3">
      <c r="A198" t="s">
        <v>384</v>
      </c>
      <c r="B198" t="s">
        <v>385</v>
      </c>
      <c r="C198" t="s">
        <v>39</v>
      </c>
      <c r="D198" t="s">
        <v>30</v>
      </c>
      <c r="E198" s="1">
        <v>46084</v>
      </c>
      <c r="F198">
        <v>45193.82</v>
      </c>
      <c r="G198">
        <v>7.01</v>
      </c>
      <c r="H198">
        <v>24</v>
      </c>
      <c r="I198" t="s">
        <v>27</v>
      </c>
      <c r="J198">
        <v>0</v>
      </c>
      <c r="K198">
        <f t="shared" ca="1" si="18"/>
        <v>15</v>
      </c>
      <c r="L198">
        <f t="shared" ca="1" si="19"/>
        <v>0</v>
      </c>
      <c r="M198" t="str">
        <f t="shared" ca="1" si="20"/>
        <v>Low</v>
      </c>
      <c r="N198">
        <f t="shared" ca="1" si="21"/>
        <v>0.24</v>
      </c>
      <c r="O198">
        <f t="shared" ca="1" si="22"/>
        <v>0</v>
      </c>
      <c r="P198">
        <f t="shared" ca="1" si="23"/>
        <v>0</v>
      </c>
    </row>
    <row r="199" spans="1:16" x14ac:dyDescent="0.3">
      <c r="A199" t="s">
        <v>386</v>
      </c>
      <c r="B199" t="s">
        <v>387</v>
      </c>
      <c r="C199" t="s">
        <v>25</v>
      </c>
      <c r="D199" t="s">
        <v>75</v>
      </c>
      <c r="E199" s="1">
        <v>46051</v>
      </c>
      <c r="F199">
        <v>84967.42</v>
      </c>
      <c r="G199">
        <v>16.91</v>
      </c>
      <c r="H199">
        <v>72</v>
      </c>
      <c r="I199" t="s">
        <v>14</v>
      </c>
      <c r="J199">
        <v>47582</v>
      </c>
      <c r="K199">
        <f t="shared" ca="1" si="18"/>
        <v>30</v>
      </c>
      <c r="L199">
        <f t="shared" ca="1" si="19"/>
        <v>0</v>
      </c>
      <c r="M199" t="str">
        <f t="shared" ca="1" si="20"/>
        <v>Medium</v>
      </c>
      <c r="N199">
        <f t="shared" ca="1" si="21"/>
        <v>3.6</v>
      </c>
      <c r="O199">
        <f t="shared" ca="1" si="22"/>
        <v>0</v>
      </c>
      <c r="P199">
        <f t="shared" ca="1" si="23"/>
        <v>65424.913399999998</v>
      </c>
    </row>
    <row r="200" spans="1:16" x14ac:dyDescent="0.3">
      <c r="A200" t="s">
        <v>388</v>
      </c>
      <c r="B200" t="s">
        <v>389</v>
      </c>
      <c r="C200" t="s">
        <v>17</v>
      </c>
      <c r="D200" t="s">
        <v>30</v>
      </c>
      <c r="E200" s="1">
        <v>45977</v>
      </c>
      <c r="F200">
        <v>11970.56</v>
      </c>
      <c r="G200">
        <v>19.7</v>
      </c>
      <c r="H200">
        <v>84</v>
      </c>
      <c r="I200" t="s">
        <v>14</v>
      </c>
      <c r="J200">
        <v>7661</v>
      </c>
      <c r="K200">
        <f t="shared" ca="1" si="18"/>
        <v>90</v>
      </c>
      <c r="L200">
        <f t="shared" ca="1" si="19"/>
        <v>1</v>
      </c>
      <c r="M200" t="str">
        <f t="shared" ca="1" si="20"/>
        <v>High</v>
      </c>
      <c r="N200">
        <f t="shared" ca="1" si="21"/>
        <v>21</v>
      </c>
      <c r="O200">
        <f t="shared" ca="1" si="22"/>
        <v>13.44</v>
      </c>
      <c r="P200">
        <f t="shared" ca="1" si="23"/>
        <v>0</v>
      </c>
    </row>
    <row r="201" spans="1:16" x14ac:dyDescent="0.3">
      <c r="A201" t="s">
        <v>390</v>
      </c>
      <c r="B201" t="s">
        <v>391</v>
      </c>
      <c r="C201" t="s">
        <v>33</v>
      </c>
      <c r="D201" t="s">
        <v>18</v>
      </c>
      <c r="E201" s="1">
        <v>45425</v>
      </c>
      <c r="F201">
        <v>84341.06</v>
      </c>
      <c r="G201">
        <v>11.54</v>
      </c>
      <c r="H201">
        <v>360</v>
      </c>
      <c r="I201" t="s">
        <v>14</v>
      </c>
      <c r="J201">
        <v>74220</v>
      </c>
      <c r="K201">
        <f t="shared" ca="1" si="18"/>
        <v>60</v>
      </c>
      <c r="L201">
        <f t="shared" ca="1" si="19"/>
        <v>0</v>
      </c>
      <c r="M201" t="str">
        <f t="shared" ca="1" si="20"/>
        <v>Medium</v>
      </c>
      <c r="N201">
        <f t="shared" ca="1" si="21"/>
        <v>36</v>
      </c>
      <c r="O201">
        <f t="shared" ca="1" si="22"/>
        <v>0</v>
      </c>
      <c r="P201">
        <f t="shared" ca="1" si="23"/>
        <v>0</v>
      </c>
    </row>
    <row r="202" spans="1:16" x14ac:dyDescent="0.3">
      <c r="A202" t="s">
        <v>392</v>
      </c>
      <c r="B202" t="s">
        <v>162</v>
      </c>
      <c r="C202" t="s">
        <v>123</v>
      </c>
      <c r="D202" t="s">
        <v>75</v>
      </c>
      <c r="E202" s="1">
        <v>45816</v>
      </c>
      <c r="F202">
        <v>77898.679999999993</v>
      </c>
      <c r="G202">
        <v>5.89</v>
      </c>
      <c r="H202">
        <v>360</v>
      </c>
      <c r="I202" t="s">
        <v>19</v>
      </c>
      <c r="J202">
        <v>0</v>
      </c>
      <c r="K202">
        <f t="shared" ca="1" si="18"/>
        <v>0</v>
      </c>
      <c r="L202">
        <f t="shared" ca="1" si="19"/>
        <v>0</v>
      </c>
      <c r="M202" t="str">
        <f t="shared" ca="1" si="20"/>
        <v>Low</v>
      </c>
      <c r="N202">
        <f t="shared" ca="1" si="21"/>
        <v>3.6</v>
      </c>
      <c r="O202">
        <f t="shared" ca="1" si="22"/>
        <v>0</v>
      </c>
      <c r="P202">
        <f t="shared" ca="1" si="23"/>
        <v>95815.376399999994</v>
      </c>
    </row>
    <row r="203" spans="1:16" x14ac:dyDescent="0.3">
      <c r="A203" t="s">
        <v>393</v>
      </c>
      <c r="B203" t="s">
        <v>394</v>
      </c>
      <c r="C203" t="s">
        <v>12</v>
      </c>
      <c r="D203" t="s">
        <v>26</v>
      </c>
      <c r="E203" s="1">
        <v>45303</v>
      </c>
      <c r="F203">
        <v>10932.93</v>
      </c>
      <c r="G203">
        <v>7.32</v>
      </c>
      <c r="H203">
        <v>360</v>
      </c>
      <c r="I203" t="s">
        <v>14</v>
      </c>
      <c r="J203">
        <v>7216</v>
      </c>
      <c r="K203">
        <f t="shared" ca="1" si="18"/>
        <v>120</v>
      </c>
      <c r="L203">
        <f t="shared" ca="1" si="19"/>
        <v>1</v>
      </c>
      <c r="M203" t="str">
        <f t="shared" ca="1" si="20"/>
        <v>High</v>
      </c>
      <c r="N203">
        <f t="shared" ca="1" si="21"/>
        <v>90</v>
      </c>
      <c r="O203">
        <f t="shared" ca="1" si="22"/>
        <v>82.8</v>
      </c>
      <c r="P203">
        <f t="shared" ca="1" si="23"/>
        <v>7871.7095999999992</v>
      </c>
    </row>
    <row r="204" spans="1:16" x14ac:dyDescent="0.3">
      <c r="A204" t="s">
        <v>395</v>
      </c>
      <c r="B204" t="s">
        <v>152</v>
      </c>
      <c r="C204" t="s">
        <v>25</v>
      </c>
      <c r="D204" t="s">
        <v>75</v>
      </c>
      <c r="E204" s="1">
        <v>45438</v>
      </c>
      <c r="F204">
        <v>86387.38</v>
      </c>
      <c r="G204">
        <v>21.74</v>
      </c>
      <c r="H204">
        <v>24</v>
      </c>
      <c r="I204" t="s">
        <v>27</v>
      </c>
      <c r="J204">
        <v>0</v>
      </c>
      <c r="K204">
        <f t="shared" ca="1" si="18"/>
        <v>0</v>
      </c>
      <c r="L204">
        <f t="shared" ca="1" si="19"/>
        <v>0</v>
      </c>
      <c r="M204" t="str">
        <f t="shared" ca="1" si="20"/>
        <v>Low</v>
      </c>
      <c r="N204">
        <f t="shared" ca="1" si="21"/>
        <v>0.24</v>
      </c>
      <c r="O204">
        <f t="shared" ca="1" si="22"/>
        <v>0</v>
      </c>
      <c r="P204">
        <f t="shared" ca="1" si="23"/>
        <v>66518.282600000006</v>
      </c>
    </row>
    <row r="205" spans="1:16" x14ac:dyDescent="0.3">
      <c r="A205" t="s">
        <v>396</v>
      </c>
      <c r="B205" t="s">
        <v>397</v>
      </c>
      <c r="C205" t="s">
        <v>54</v>
      </c>
      <c r="D205" t="s">
        <v>18</v>
      </c>
      <c r="E205" s="1">
        <v>46009</v>
      </c>
      <c r="F205">
        <v>1310.57</v>
      </c>
      <c r="G205">
        <v>19.38</v>
      </c>
      <c r="H205">
        <v>84</v>
      </c>
      <c r="I205" t="s">
        <v>14</v>
      </c>
      <c r="J205">
        <v>695</v>
      </c>
      <c r="K205">
        <f t="shared" ca="1" si="18"/>
        <v>30</v>
      </c>
      <c r="L205">
        <f t="shared" ca="1" si="19"/>
        <v>0</v>
      </c>
      <c r="M205" t="str">
        <f t="shared" ca="1" si="20"/>
        <v>Medium</v>
      </c>
      <c r="N205">
        <f t="shared" ca="1" si="21"/>
        <v>4.2</v>
      </c>
      <c r="O205">
        <f t="shared" ca="1" si="22"/>
        <v>0</v>
      </c>
      <c r="P205">
        <f t="shared" ca="1" si="23"/>
        <v>0</v>
      </c>
    </row>
    <row r="206" spans="1:16" x14ac:dyDescent="0.3">
      <c r="A206" t="s">
        <v>398</v>
      </c>
      <c r="B206" t="s">
        <v>399</v>
      </c>
      <c r="C206" t="s">
        <v>51</v>
      </c>
      <c r="D206" t="s">
        <v>22</v>
      </c>
      <c r="E206" s="1">
        <v>45535</v>
      </c>
      <c r="F206">
        <v>21414.29</v>
      </c>
      <c r="G206">
        <v>6.74</v>
      </c>
      <c r="H206">
        <v>180</v>
      </c>
      <c r="I206" t="s">
        <v>14</v>
      </c>
      <c r="J206">
        <v>20344</v>
      </c>
      <c r="K206">
        <f t="shared" ca="1" si="18"/>
        <v>45</v>
      </c>
      <c r="L206">
        <f t="shared" ca="1" si="19"/>
        <v>0</v>
      </c>
      <c r="M206" t="str">
        <f t="shared" ca="1" si="20"/>
        <v>Medium</v>
      </c>
      <c r="N206">
        <f t="shared" ca="1" si="21"/>
        <v>9</v>
      </c>
      <c r="O206">
        <f t="shared" ca="1" si="22"/>
        <v>0</v>
      </c>
      <c r="P206">
        <f t="shared" ca="1" si="23"/>
        <v>18202.146500000003</v>
      </c>
    </row>
    <row r="207" spans="1:16" x14ac:dyDescent="0.3">
      <c r="A207" t="s">
        <v>400</v>
      </c>
      <c r="B207" t="s">
        <v>273</v>
      </c>
      <c r="C207" t="s">
        <v>17</v>
      </c>
      <c r="D207" t="s">
        <v>26</v>
      </c>
      <c r="E207" s="1">
        <v>45842</v>
      </c>
      <c r="F207">
        <v>54273.17</v>
      </c>
      <c r="G207">
        <v>16.88</v>
      </c>
      <c r="H207">
        <v>120</v>
      </c>
      <c r="I207" t="s">
        <v>14</v>
      </c>
      <c r="J207">
        <v>45047</v>
      </c>
      <c r="K207">
        <f t="shared" ca="1" si="18"/>
        <v>45</v>
      </c>
      <c r="L207">
        <f t="shared" ca="1" si="19"/>
        <v>0</v>
      </c>
      <c r="M207" t="str">
        <f t="shared" ca="1" si="20"/>
        <v>Medium</v>
      </c>
      <c r="N207">
        <f t="shared" ca="1" si="21"/>
        <v>6</v>
      </c>
      <c r="O207">
        <f t="shared" ca="1" si="22"/>
        <v>0</v>
      </c>
      <c r="P207">
        <f t="shared" ca="1" si="23"/>
        <v>68384.194199999998</v>
      </c>
    </row>
    <row r="208" spans="1:16" x14ac:dyDescent="0.3">
      <c r="A208" t="s">
        <v>401</v>
      </c>
      <c r="B208" t="s">
        <v>402</v>
      </c>
      <c r="C208" t="s">
        <v>70</v>
      </c>
      <c r="D208" t="s">
        <v>13</v>
      </c>
      <c r="E208" s="1">
        <v>45584</v>
      </c>
      <c r="F208">
        <v>40258.31</v>
      </c>
      <c r="G208">
        <v>5.53</v>
      </c>
      <c r="H208">
        <v>36</v>
      </c>
      <c r="I208" t="s">
        <v>14</v>
      </c>
      <c r="J208">
        <v>18921</v>
      </c>
      <c r="K208">
        <f t="shared" ca="1" si="18"/>
        <v>0</v>
      </c>
      <c r="L208">
        <f t="shared" ca="1" si="19"/>
        <v>0</v>
      </c>
      <c r="M208" t="str">
        <f t="shared" ca="1" si="20"/>
        <v>Low</v>
      </c>
      <c r="N208">
        <f t="shared" ca="1" si="21"/>
        <v>0.36</v>
      </c>
      <c r="O208">
        <f t="shared" ca="1" si="22"/>
        <v>0</v>
      </c>
      <c r="P208">
        <f t="shared" ca="1" si="23"/>
        <v>0</v>
      </c>
    </row>
    <row r="209" spans="1:16" x14ac:dyDescent="0.3">
      <c r="A209" t="s">
        <v>403</v>
      </c>
      <c r="B209" t="s">
        <v>404</v>
      </c>
      <c r="C209" t="s">
        <v>25</v>
      </c>
      <c r="D209" t="s">
        <v>13</v>
      </c>
      <c r="E209" s="1">
        <v>45379</v>
      </c>
      <c r="F209">
        <v>94196.53</v>
      </c>
      <c r="G209">
        <v>10.19</v>
      </c>
      <c r="H209">
        <v>360</v>
      </c>
      <c r="I209" t="s">
        <v>14</v>
      </c>
      <c r="J209">
        <v>76299</v>
      </c>
      <c r="K209">
        <f t="shared" ca="1" si="18"/>
        <v>60</v>
      </c>
      <c r="L209">
        <f t="shared" ca="1" si="19"/>
        <v>0</v>
      </c>
      <c r="M209" t="str">
        <f t="shared" ca="1" si="20"/>
        <v>Medium</v>
      </c>
      <c r="N209">
        <f t="shared" ca="1" si="21"/>
        <v>36</v>
      </c>
      <c r="O209">
        <f t="shared" ca="1" si="22"/>
        <v>0</v>
      </c>
      <c r="P209">
        <f t="shared" ca="1" si="23"/>
        <v>0</v>
      </c>
    </row>
    <row r="210" spans="1:16" x14ac:dyDescent="0.3">
      <c r="A210" t="s">
        <v>405</v>
      </c>
      <c r="B210" t="s">
        <v>406</v>
      </c>
      <c r="C210" t="s">
        <v>17</v>
      </c>
      <c r="D210" t="s">
        <v>75</v>
      </c>
      <c r="E210" s="1">
        <v>45400</v>
      </c>
      <c r="F210">
        <v>32402.75</v>
      </c>
      <c r="G210">
        <v>21.45</v>
      </c>
      <c r="H210">
        <v>12</v>
      </c>
      <c r="I210" t="s">
        <v>27</v>
      </c>
      <c r="J210">
        <v>0</v>
      </c>
      <c r="K210">
        <f t="shared" ca="1" si="18"/>
        <v>30</v>
      </c>
      <c r="L210">
        <f t="shared" ca="1" si="19"/>
        <v>0</v>
      </c>
      <c r="M210" t="str">
        <f t="shared" ca="1" si="20"/>
        <v>Medium</v>
      </c>
      <c r="N210">
        <f t="shared" ca="1" si="21"/>
        <v>0.60000000000000009</v>
      </c>
      <c r="O210">
        <f t="shared" ca="1" si="22"/>
        <v>0</v>
      </c>
      <c r="P210">
        <f t="shared" ca="1" si="23"/>
        <v>22681.924999999999</v>
      </c>
    </row>
    <row r="211" spans="1:16" x14ac:dyDescent="0.3">
      <c r="A211" t="s">
        <v>407</v>
      </c>
      <c r="B211" t="s">
        <v>16</v>
      </c>
      <c r="C211" t="s">
        <v>17</v>
      </c>
      <c r="D211" t="s">
        <v>13</v>
      </c>
      <c r="E211" s="1">
        <v>45688</v>
      </c>
      <c r="F211">
        <v>51230.75</v>
      </c>
      <c r="G211">
        <v>7.92</v>
      </c>
      <c r="H211">
        <v>12</v>
      </c>
      <c r="I211" t="s">
        <v>14</v>
      </c>
      <c r="J211">
        <v>31251</v>
      </c>
      <c r="K211">
        <f t="shared" ca="1" si="18"/>
        <v>0</v>
      </c>
      <c r="L211">
        <f t="shared" ca="1" si="19"/>
        <v>0</v>
      </c>
      <c r="M211" t="str">
        <f t="shared" ca="1" si="20"/>
        <v>Low</v>
      </c>
      <c r="N211">
        <f t="shared" ca="1" si="21"/>
        <v>0.12</v>
      </c>
      <c r="O211">
        <f t="shared" ca="1" si="22"/>
        <v>0</v>
      </c>
      <c r="P211">
        <f t="shared" ca="1" si="23"/>
        <v>0</v>
      </c>
    </row>
    <row r="212" spans="1:16" x14ac:dyDescent="0.3">
      <c r="A212" t="s">
        <v>408</v>
      </c>
      <c r="B212" t="s">
        <v>409</v>
      </c>
      <c r="C212" t="s">
        <v>39</v>
      </c>
      <c r="D212" t="s">
        <v>13</v>
      </c>
      <c r="E212" s="1">
        <v>45992</v>
      </c>
      <c r="F212">
        <v>44447.11</v>
      </c>
      <c r="G212">
        <v>12.72</v>
      </c>
      <c r="H212">
        <v>48</v>
      </c>
      <c r="I212" t="s">
        <v>27</v>
      </c>
      <c r="J212">
        <v>0</v>
      </c>
      <c r="K212">
        <f t="shared" ca="1" si="18"/>
        <v>45</v>
      </c>
      <c r="L212">
        <f t="shared" ca="1" si="19"/>
        <v>0</v>
      </c>
      <c r="M212" t="str">
        <f t="shared" ca="1" si="20"/>
        <v>Medium</v>
      </c>
      <c r="N212">
        <f t="shared" ca="1" si="21"/>
        <v>2.4000000000000004</v>
      </c>
      <c r="O212">
        <f t="shared" ca="1" si="22"/>
        <v>0</v>
      </c>
      <c r="P212">
        <f t="shared" ca="1" si="23"/>
        <v>0</v>
      </c>
    </row>
    <row r="213" spans="1:16" x14ac:dyDescent="0.3">
      <c r="A213" t="s">
        <v>410</v>
      </c>
      <c r="B213" t="s">
        <v>138</v>
      </c>
      <c r="C213" t="s">
        <v>54</v>
      </c>
      <c r="D213" t="s">
        <v>22</v>
      </c>
      <c r="E213" s="1">
        <v>45640</v>
      </c>
      <c r="F213">
        <v>77594</v>
      </c>
      <c r="G213">
        <v>9.49</v>
      </c>
      <c r="H213">
        <v>24</v>
      </c>
      <c r="I213" t="s">
        <v>19</v>
      </c>
      <c r="J213">
        <v>0</v>
      </c>
      <c r="K213">
        <f t="shared" ca="1" si="18"/>
        <v>0</v>
      </c>
      <c r="L213">
        <f t="shared" ca="1" si="19"/>
        <v>0</v>
      </c>
      <c r="M213" t="str">
        <f t="shared" ca="1" si="20"/>
        <v>Low</v>
      </c>
      <c r="N213">
        <f t="shared" ca="1" si="21"/>
        <v>0.24</v>
      </c>
      <c r="O213">
        <f t="shared" ca="1" si="22"/>
        <v>0</v>
      </c>
      <c r="P213">
        <f t="shared" ca="1" si="23"/>
        <v>65178.96</v>
      </c>
    </row>
    <row r="214" spans="1:16" x14ac:dyDescent="0.3">
      <c r="A214" t="s">
        <v>411</v>
      </c>
      <c r="B214" t="s">
        <v>181</v>
      </c>
      <c r="C214" t="s">
        <v>36</v>
      </c>
      <c r="D214" t="s">
        <v>26</v>
      </c>
      <c r="E214" s="1">
        <v>45570</v>
      </c>
      <c r="F214">
        <v>18548.099999999999</v>
      </c>
      <c r="G214">
        <v>9.41</v>
      </c>
      <c r="H214">
        <v>72</v>
      </c>
      <c r="I214" t="s">
        <v>14</v>
      </c>
      <c r="J214">
        <v>15951</v>
      </c>
      <c r="K214">
        <f t="shared" ca="1" si="18"/>
        <v>0</v>
      </c>
      <c r="L214">
        <f t="shared" ca="1" si="19"/>
        <v>0</v>
      </c>
      <c r="M214" t="str">
        <f t="shared" ca="1" si="20"/>
        <v>Low</v>
      </c>
      <c r="N214">
        <f t="shared" ca="1" si="21"/>
        <v>0.72</v>
      </c>
      <c r="O214">
        <f t="shared" ca="1" si="22"/>
        <v>0</v>
      </c>
      <c r="P214">
        <f t="shared" ca="1" si="23"/>
        <v>15394.922999999999</v>
      </c>
    </row>
    <row r="215" spans="1:16" x14ac:dyDescent="0.3">
      <c r="A215" t="s">
        <v>412</v>
      </c>
      <c r="B215" t="s">
        <v>404</v>
      </c>
      <c r="C215" t="s">
        <v>51</v>
      </c>
      <c r="D215" t="s">
        <v>18</v>
      </c>
      <c r="E215" s="1">
        <v>45546</v>
      </c>
      <c r="F215">
        <v>50865.1</v>
      </c>
      <c r="G215">
        <v>6.3</v>
      </c>
      <c r="H215">
        <v>24</v>
      </c>
      <c r="I215" t="s">
        <v>14</v>
      </c>
      <c r="J215">
        <v>34588</v>
      </c>
      <c r="K215">
        <f t="shared" ca="1" si="18"/>
        <v>0</v>
      </c>
      <c r="L215">
        <f t="shared" ca="1" si="19"/>
        <v>0</v>
      </c>
      <c r="M215" t="str">
        <f t="shared" ca="1" si="20"/>
        <v>Low</v>
      </c>
      <c r="N215">
        <f t="shared" ca="1" si="21"/>
        <v>0.24</v>
      </c>
      <c r="O215">
        <f t="shared" ca="1" si="22"/>
        <v>0</v>
      </c>
      <c r="P215">
        <f t="shared" ca="1" si="23"/>
        <v>0</v>
      </c>
    </row>
    <row r="216" spans="1:16" x14ac:dyDescent="0.3">
      <c r="A216" t="s">
        <v>413</v>
      </c>
      <c r="B216" t="s">
        <v>414</v>
      </c>
      <c r="C216" t="s">
        <v>25</v>
      </c>
      <c r="D216" t="s">
        <v>26</v>
      </c>
      <c r="E216" s="1">
        <v>45732</v>
      </c>
      <c r="F216">
        <v>90550.07</v>
      </c>
      <c r="G216">
        <v>17.399999999999999</v>
      </c>
      <c r="H216">
        <v>360</v>
      </c>
      <c r="I216" t="s">
        <v>14</v>
      </c>
      <c r="J216">
        <v>84212</v>
      </c>
      <c r="K216">
        <f t="shared" ca="1" si="18"/>
        <v>30</v>
      </c>
      <c r="L216">
        <f t="shared" ca="1" si="19"/>
        <v>0</v>
      </c>
      <c r="M216" t="str">
        <f t="shared" ca="1" si="20"/>
        <v>Medium</v>
      </c>
      <c r="N216">
        <f t="shared" ca="1" si="21"/>
        <v>18</v>
      </c>
      <c r="O216">
        <f t="shared" ca="1" si="22"/>
        <v>0</v>
      </c>
      <c r="P216">
        <f t="shared" ca="1" si="23"/>
        <v>90550.07</v>
      </c>
    </row>
    <row r="217" spans="1:16" x14ac:dyDescent="0.3">
      <c r="A217" t="s">
        <v>415</v>
      </c>
      <c r="B217" t="s">
        <v>316</v>
      </c>
      <c r="C217" t="s">
        <v>12</v>
      </c>
      <c r="D217" t="s">
        <v>22</v>
      </c>
      <c r="E217" s="1">
        <v>45572</v>
      </c>
      <c r="F217">
        <v>40985.53</v>
      </c>
      <c r="G217">
        <v>4.66</v>
      </c>
      <c r="H217">
        <v>48</v>
      </c>
      <c r="I217" t="s">
        <v>14</v>
      </c>
      <c r="J217">
        <v>34428</v>
      </c>
      <c r="K217">
        <f t="shared" ca="1" si="18"/>
        <v>15</v>
      </c>
      <c r="L217">
        <f t="shared" ca="1" si="19"/>
        <v>0</v>
      </c>
      <c r="M217" t="str">
        <f t="shared" ca="1" si="20"/>
        <v>Low</v>
      </c>
      <c r="N217">
        <f t="shared" ca="1" si="21"/>
        <v>0.48</v>
      </c>
      <c r="O217">
        <f t="shared" ca="1" si="22"/>
        <v>0</v>
      </c>
      <c r="P217">
        <f t="shared" ca="1" si="23"/>
        <v>43444.661799999994</v>
      </c>
    </row>
    <row r="218" spans="1:16" x14ac:dyDescent="0.3">
      <c r="A218" t="s">
        <v>416</v>
      </c>
      <c r="B218" t="s">
        <v>417</v>
      </c>
      <c r="C218" t="s">
        <v>39</v>
      </c>
      <c r="D218" t="s">
        <v>26</v>
      </c>
      <c r="E218" s="1">
        <v>46143</v>
      </c>
      <c r="F218">
        <v>37233.15</v>
      </c>
      <c r="G218">
        <v>20.79</v>
      </c>
      <c r="H218">
        <v>240</v>
      </c>
      <c r="I218" t="s">
        <v>14</v>
      </c>
      <c r="J218">
        <v>15638</v>
      </c>
      <c r="K218">
        <f t="shared" ca="1" si="18"/>
        <v>60</v>
      </c>
      <c r="L218">
        <f t="shared" ca="1" si="19"/>
        <v>0</v>
      </c>
      <c r="M218" t="str">
        <f t="shared" ca="1" si="20"/>
        <v>Medium</v>
      </c>
      <c r="N218">
        <f t="shared" ca="1" si="21"/>
        <v>24</v>
      </c>
      <c r="O218">
        <f t="shared" ca="1" si="22"/>
        <v>0</v>
      </c>
      <c r="P218">
        <f t="shared" ca="1" si="23"/>
        <v>36860.818500000001</v>
      </c>
    </row>
    <row r="219" spans="1:16" x14ac:dyDescent="0.3">
      <c r="A219" t="s">
        <v>418</v>
      </c>
      <c r="B219" t="s">
        <v>419</v>
      </c>
      <c r="C219" t="s">
        <v>123</v>
      </c>
      <c r="D219" t="s">
        <v>75</v>
      </c>
      <c r="E219" s="1">
        <v>45864</v>
      </c>
      <c r="F219">
        <v>35134.46</v>
      </c>
      <c r="G219">
        <v>21.27</v>
      </c>
      <c r="H219">
        <v>72</v>
      </c>
      <c r="I219" t="s">
        <v>14</v>
      </c>
      <c r="J219">
        <v>12648</v>
      </c>
      <c r="K219">
        <f t="shared" ca="1" si="18"/>
        <v>45</v>
      </c>
      <c r="L219">
        <f t="shared" ca="1" si="19"/>
        <v>0</v>
      </c>
      <c r="M219" t="str">
        <f t="shared" ca="1" si="20"/>
        <v>Medium</v>
      </c>
      <c r="N219">
        <f t="shared" ca="1" si="21"/>
        <v>3.6</v>
      </c>
      <c r="O219">
        <f t="shared" ca="1" si="22"/>
        <v>0</v>
      </c>
      <c r="P219">
        <f t="shared" ca="1" si="23"/>
        <v>28458.912599999996</v>
      </c>
    </row>
    <row r="220" spans="1:16" x14ac:dyDescent="0.3">
      <c r="A220" t="s">
        <v>420</v>
      </c>
      <c r="B220" t="s">
        <v>421</v>
      </c>
      <c r="C220" t="s">
        <v>33</v>
      </c>
      <c r="D220" t="s">
        <v>30</v>
      </c>
      <c r="E220" s="1">
        <v>45418</v>
      </c>
      <c r="F220">
        <v>11463.47</v>
      </c>
      <c r="G220">
        <v>4.43</v>
      </c>
      <c r="H220">
        <v>84</v>
      </c>
      <c r="I220" t="s">
        <v>14</v>
      </c>
      <c r="J220">
        <v>6649</v>
      </c>
      <c r="K220">
        <f t="shared" ca="1" si="18"/>
        <v>120</v>
      </c>
      <c r="L220">
        <f t="shared" ca="1" si="19"/>
        <v>1</v>
      </c>
      <c r="M220" t="str">
        <f t="shared" ca="1" si="20"/>
        <v>High</v>
      </c>
      <c r="N220">
        <f t="shared" ca="1" si="21"/>
        <v>21</v>
      </c>
      <c r="O220">
        <f t="shared" ca="1" si="22"/>
        <v>23.52</v>
      </c>
      <c r="P220">
        <f t="shared" ca="1" si="23"/>
        <v>0</v>
      </c>
    </row>
    <row r="221" spans="1:16" x14ac:dyDescent="0.3">
      <c r="A221" t="s">
        <v>422</v>
      </c>
      <c r="B221" t="s">
        <v>406</v>
      </c>
      <c r="C221" t="s">
        <v>12</v>
      </c>
      <c r="D221" t="s">
        <v>18</v>
      </c>
      <c r="E221" s="1">
        <v>45876</v>
      </c>
      <c r="F221">
        <v>33120.5</v>
      </c>
      <c r="G221">
        <v>17.420000000000002</v>
      </c>
      <c r="H221">
        <v>36</v>
      </c>
      <c r="I221" t="s">
        <v>14</v>
      </c>
      <c r="J221">
        <v>20866</v>
      </c>
      <c r="K221">
        <f t="shared" ca="1" si="18"/>
        <v>0</v>
      </c>
      <c r="L221">
        <f t="shared" ca="1" si="19"/>
        <v>0</v>
      </c>
      <c r="M221" t="str">
        <f t="shared" ca="1" si="20"/>
        <v>Low</v>
      </c>
      <c r="N221">
        <f t="shared" ca="1" si="21"/>
        <v>0.36</v>
      </c>
      <c r="O221">
        <f t="shared" ca="1" si="22"/>
        <v>0</v>
      </c>
      <c r="P221">
        <f t="shared" ca="1" si="23"/>
        <v>0</v>
      </c>
    </row>
    <row r="222" spans="1:16" x14ac:dyDescent="0.3">
      <c r="A222" t="s">
        <v>423</v>
      </c>
      <c r="B222" t="s">
        <v>275</v>
      </c>
      <c r="C222" t="s">
        <v>39</v>
      </c>
      <c r="D222" t="s">
        <v>30</v>
      </c>
      <c r="E222" s="1">
        <v>45409</v>
      </c>
      <c r="F222">
        <v>62788.91</v>
      </c>
      <c r="G222">
        <v>17.440000000000001</v>
      </c>
      <c r="H222">
        <v>48</v>
      </c>
      <c r="I222" t="s">
        <v>14</v>
      </c>
      <c r="J222">
        <v>55882</v>
      </c>
      <c r="K222">
        <f t="shared" ca="1" si="18"/>
        <v>0</v>
      </c>
      <c r="L222">
        <f t="shared" ca="1" si="19"/>
        <v>0</v>
      </c>
      <c r="M222" t="str">
        <f t="shared" ca="1" si="20"/>
        <v>Low</v>
      </c>
      <c r="N222">
        <f t="shared" ca="1" si="21"/>
        <v>0.48</v>
      </c>
      <c r="O222">
        <f t="shared" ca="1" si="22"/>
        <v>0</v>
      </c>
      <c r="P222">
        <f t="shared" ca="1" si="23"/>
        <v>0</v>
      </c>
    </row>
    <row r="223" spans="1:16" x14ac:dyDescent="0.3">
      <c r="A223" t="s">
        <v>424</v>
      </c>
      <c r="B223" t="s">
        <v>425</v>
      </c>
      <c r="C223" t="s">
        <v>12</v>
      </c>
      <c r="D223" t="s">
        <v>13</v>
      </c>
      <c r="E223" s="1">
        <v>45504</v>
      </c>
      <c r="F223">
        <v>81081.59</v>
      </c>
      <c r="G223">
        <v>4.26</v>
      </c>
      <c r="H223">
        <v>24</v>
      </c>
      <c r="I223" t="s">
        <v>27</v>
      </c>
      <c r="J223">
        <v>0</v>
      </c>
      <c r="K223">
        <f t="shared" ca="1" si="18"/>
        <v>0</v>
      </c>
      <c r="L223">
        <f t="shared" ca="1" si="19"/>
        <v>0</v>
      </c>
      <c r="M223" t="str">
        <f t="shared" ca="1" si="20"/>
        <v>Low</v>
      </c>
      <c r="N223">
        <f t="shared" ca="1" si="21"/>
        <v>0.24</v>
      </c>
      <c r="O223">
        <f t="shared" ca="1" si="22"/>
        <v>0</v>
      </c>
      <c r="P223">
        <f t="shared" ca="1" si="23"/>
        <v>0</v>
      </c>
    </row>
    <row r="224" spans="1:16" x14ac:dyDescent="0.3">
      <c r="A224" t="s">
        <v>426</v>
      </c>
      <c r="B224" t="s">
        <v>138</v>
      </c>
      <c r="C224" t="s">
        <v>39</v>
      </c>
      <c r="D224" t="s">
        <v>26</v>
      </c>
      <c r="E224" s="1">
        <v>45709</v>
      </c>
      <c r="F224">
        <v>93446.05</v>
      </c>
      <c r="G224">
        <v>16.45</v>
      </c>
      <c r="H224">
        <v>360</v>
      </c>
      <c r="I224" t="s">
        <v>27</v>
      </c>
      <c r="J224">
        <v>0</v>
      </c>
      <c r="K224">
        <f t="shared" ca="1" si="18"/>
        <v>15</v>
      </c>
      <c r="L224">
        <f t="shared" ca="1" si="19"/>
        <v>0</v>
      </c>
      <c r="M224" t="str">
        <f t="shared" ca="1" si="20"/>
        <v>Low</v>
      </c>
      <c r="N224">
        <f t="shared" ca="1" si="21"/>
        <v>3.6</v>
      </c>
      <c r="O224">
        <f t="shared" ca="1" si="22"/>
        <v>0</v>
      </c>
      <c r="P224">
        <f t="shared" ca="1" si="23"/>
        <v>76625.760999999999</v>
      </c>
    </row>
    <row r="225" spans="1:16" x14ac:dyDescent="0.3">
      <c r="A225" t="s">
        <v>427</v>
      </c>
      <c r="B225" t="s">
        <v>206</v>
      </c>
      <c r="C225" t="s">
        <v>25</v>
      </c>
      <c r="D225" t="s">
        <v>22</v>
      </c>
      <c r="E225" s="1">
        <v>45749</v>
      </c>
      <c r="F225">
        <v>71615.95</v>
      </c>
      <c r="G225">
        <v>17.34</v>
      </c>
      <c r="H225">
        <v>84</v>
      </c>
      <c r="I225" t="s">
        <v>14</v>
      </c>
      <c r="J225">
        <v>52996</v>
      </c>
      <c r="K225">
        <f t="shared" ca="1" si="18"/>
        <v>30</v>
      </c>
      <c r="L225">
        <f t="shared" ca="1" si="19"/>
        <v>0</v>
      </c>
      <c r="M225" t="str">
        <f t="shared" ca="1" si="20"/>
        <v>Medium</v>
      </c>
      <c r="N225">
        <f t="shared" ca="1" si="21"/>
        <v>4.2</v>
      </c>
      <c r="O225">
        <f t="shared" ca="1" si="22"/>
        <v>0</v>
      </c>
      <c r="P225">
        <f t="shared" ca="1" si="23"/>
        <v>90236.096999999994</v>
      </c>
    </row>
    <row r="226" spans="1:16" x14ac:dyDescent="0.3">
      <c r="A226" t="s">
        <v>428</v>
      </c>
      <c r="B226" t="s">
        <v>429</v>
      </c>
      <c r="C226" t="s">
        <v>39</v>
      </c>
      <c r="D226" t="s">
        <v>75</v>
      </c>
      <c r="E226" s="1">
        <v>45956</v>
      </c>
      <c r="F226">
        <v>91754.64</v>
      </c>
      <c r="G226">
        <v>10.97</v>
      </c>
      <c r="H226">
        <v>72</v>
      </c>
      <c r="I226" t="s">
        <v>14</v>
      </c>
      <c r="J226">
        <v>61476</v>
      </c>
      <c r="K226">
        <f t="shared" ca="1" si="18"/>
        <v>15</v>
      </c>
      <c r="L226">
        <f t="shared" ca="1" si="19"/>
        <v>0</v>
      </c>
      <c r="M226" t="str">
        <f t="shared" ca="1" si="20"/>
        <v>Low</v>
      </c>
      <c r="N226">
        <f t="shared" ca="1" si="21"/>
        <v>0.72</v>
      </c>
      <c r="O226">
        <f t="shared" ca="1" si="22"/>
        <v>0</v>
      </c>
      <c r="P226">
        <f t="shared" ca="1" si="23"/>
        <v>100012.5576</v>
      </c>
    </row>
    <row r="227" spans="1:16" x14ac:dyDescent="0.3">
      <c r="A227" t="s">
        <v>430</v>
      </c>
      <c r="B227" t="s">
        <v>134</v>
      </c>
      <c r="C227" t="s">
        <v>36</v>
      </c>
      <c r="D227" t="s">
        <v>26</v>
      </c>
      <c r="E227" s="1">
        <v>45847</v>
      </c>
      <c r="F227">
        <v>22779.48</v>
      </c>
      <c r="G227">
        <v>16.73</v>
      </c>
      <c r="H227">
        <v>36</v>
      </c>
      <c r="I227" t="s">
        <v>27</v>
      </c>
      <c r="J227">
        <v>0</v>
      </c>
      <c r="K227">
        <f t="shared" ca="1" si="18"/>
        <v>15</v>
      </c>
      <c r="L227">
        <f t="shared" ca="1" si="19"/>
        <v>0</v>
      </c>
      <c r="M227" t="str">
        <f t="shared" ca="1" si="20"/>
        <v>Low</v>
      </c>
      <c r="N227">
        <f t="shared" ca="1" si="21"/>
        <v>0.36</v>
      </c>
      <c r="O227">
        <f t="shared" ca="1" si="22"/>
        <v>0</v>
      </c>
      <c r="P227">
        <f t="shared" ca="1" si="23"/>
        <v>22551.6852</v>
      </c>
    </row>
    <row r="228" spans="1:16" x14ac:dyDescent="0.3">
      <c r="A228" t="s">
        <v>431</v>
      </c>
      <c r="B228" t="s">
        <v>432</v>
      </c>
      <c r="C228" t="s">
        <v>39</v>
      </c>
      <c r="D228" t="s">
        <v>30</v>
      </c>
      <c r="E228" s="1">
        <v>46183</v>
      </c>
      <c r="F228">
        <v>78159.45</v>
      </c>
      <c r="G228">
        <v>20.059999999999999</v>
      </c>
      <c r="H228">
        <v>12</v>
      </c>
      <c r="I228" t="s">
        <v>14</v>
      </c>
      <c r="J228">
        <v>64872</v>
      </c>
      <c r="K228">
        <f t="shared" ca="1" si="18"/>
        <v>0</v>
      </c>
      <c r="L228">
        <f t="shared" ca="1" si="19"/>
        <v>0</v>
      </c>
      <c r="M228" t="str">
        <f t="shared" ca="1" si="20"/>
        <v>Low</v>
      </c>
      <c r="N228">
        <f t="shared" ca="1" si="21"/>
        <v>0.12</v>
      </c>
      <c r="O228">
        <f t="shared" ca="1" si="22"/>
        <v>0</v>
      </c>
      <c r="P228">
        <f t="shared" ca="1" si="23"/>
        <v>0</v>
      </c>
    </row>
    <row r="229" spans="1:16" x14ac:dyDescent="0.3">
      <c r="A229" t="s">
        <v>433</v>
      </c>
      <c r="B229" t="s">
        <v>434</v>
      </c>
      <c r="C229" t="s">
        <v>25</v>
      </c>
      <c r="D229" t="s">
        <v>30</v>
      </c>
      <c r="E229" s="1">
        <v>45891</v>
      </c>
      <c r="F229">
        <v>61968.13</v>
      </c>
      <c r="G229">
        <v>8.91</v>
      </c>
      <c r="H229">
        <v>180</v>
      </c>
      <c r="I229" t="s">
        <v>14</v>
      </c>
      <c r="J229">
        <v>24787</v>
      </c>
      <c r="K229">
        <f t="shared" ca="1" si="18"/>
        <v>0</v>
      </c>
      <c r="L229">
        <f t="shared" ca="1" si="19"/>
        <v>0</v>
      </c>
      <c r="M229" t="str">
        <f t="shared" ca="1" si="20"/>
        <v>Low</v>
      </c>
      <c r="N229">
        <f t="shared" ca="1" si="21"/>
        <v>1.8</v>
      </c>
      <c r="O229">
        <f t="shared" ca="1" si="22"/>
        <v>0</v>
      </c>
      <c r="P229">
        <f t="shared" ca="1" si="23"/>
        <v>0</v>
      </c>
    </row>
    <row r="230" spans="1:16" x14ac:dyDescent="0.3">
      <c r="A230" t="s">
        <v>435</v>
      </c>
      <c r="B230" t="s">
        <v>436</v>
      </c>
      <c r="C230" t="s">
        <v>17</v>
      </c>
      <c r="D230" t="s">
        <v>22</v>
      </c>
      <c r="E230" s="1">
        <v>45334</v>
      </c>
      <c r="F230">
        <v>13978.32</v>
      </c>
      <c r="G230">
        <v>13.07</v>
      </c>
      <c r="H230">
        <v>36</v>
      </c>
      <c r="I230" t="s">
        <v>14</v>
      </c>
      <c r="J230">
        <v>12021</v>
      </c>
      <c r="K230">
        <f t="shared" ca="1" si="18"/>
        <v>60</v>
      </c>
      <c r="L230">
        <f t="shared" ca="1" si="19"/>
        <v>0</v>
      </c>
      <c r="M230" t="str">
        <f t="shared" ca="1" si="20"/>
        <v>Medium</v>
      </c>
      <c r="N230">
        <f t="shared" ca="1" si="21"/>
        <v>3.6</v>
      </c>
      <c r="O230">
        <f t="shared" ca="1" si="22"/>
        <v>0</v>
      </c>
      <c r="P230">
        <f t="shared" ca="1" si="23"/>
        <v>14118.103200000001</v>
      </c>
    </row>
    <row r="231" spans="1:16" x14ac:dyDescent="0.3">
      <c r="A231" t="s">
        <v>437</v>
      </c>
      <c r="B231" t="s">
        <v>438</v>
      </c>
      <c r="C231" t="s">
        <v>123</v>
      </c>
      <c r="D231" t="s">
        <v>18</v>
      </c>
      <c r="E231" s="1">
        <v>46182</v>
      </c>
      <c r="F231">
        <v>76839.75</v>
      </c>
      <c r="G231">
        <v>17.21</v>
      </c>
      <c r="H231">
        <v>240</v>
      </c>
      <c r="I231" t="s">
        <v>27</v>
      </c>
      <c r="J231">
        <v>0</v>
      </c>
      <c r="K231">
        <f t="shared" ca="1" si="18"/>
        <v>0</v>
      </c>
      <c r="L231">
        <f t="shared" ca="1" si="19"/>
        <v>0</v>
      </c>
      <c r="M231" t="str">
        <f t="shared" ca="1" si="20"/>
        <v>Low</v>
      </c>
      <c r="N231">
        <f t="shared" ca="1" si="21"/>
        <v>2.4</v>
      </c>
      <c r="O231">
        <f t="shared" ca="1" si="22"/>
        <v>0</v>
      </c>
      <c r="P231">
        <f t="shared" ca="1" si="23"/>
        <v>0</v>
      </c>
    </row>
    <row r="232" spans="1:16" x14ac:dyDescent="0.3">
      <c r="A232" t="s">
        <v>439</v>
      </c>
      <c r="B232" t="s">
        <v>238</v>
      </c>
      <c r="C232" t="s">
        <v>17</v>
      </c>
      <c r="D232" t="s">
        <v>22</v>
      </c>
      <c r="E232" s="1">
        <v>45650</v>
      </c>
      <c r="F232">
        <v>82892.39</v>
      </c>
      <c r="G232">
        <v>7.32</v>
      </c>
      <c r="H232">
        <v>72</v>
      </c>
      <c r="I232" t="s">
        <v>14</v>
      </c>
      <c r="J232">
        <v>43933</v>
      </c>
      <c r="K232">
        <f t="shared" ca="1" si="18"/>
        <v>45</v>
      </c>
      <c r="L232">
        <f t="shared" ca="1" si="19"/>
        <v>0</v>
      </c>
      <c r="M232" t="str">
        <f t="shared" ca="1" si="20"/>
        <v>Medium</v>
      </c>
      <c r="N232">
        <f t="shared" ca="1" si="21"/>
        <v>3.6</v>
      </c>
      <c r="O232">
        <f t="shared" ca="1" si="22"/>
        <v>0</v>
      </c>
      <c r="P232">
        <f t="shared" ca="1" si="23"/>
        <v>82063.466100000005</v>
      </c>
    </row>
    <row r="233" spans="1:16" x14ac:dyDescent="0.3">
      <c r="A233" t="s">
        <v>440</v>
      </c>
      <c r="B233" t="s">
        <v>441</v>
      </c>
      <c r="C233" t="s">
        <v>17</v>
      </c>
      <c r="D233" t="s">
        <v>30</v>
      </c>
      <c r="E233" s="1">
        <v>45302</v>
      </c>
      <c r="F233">
        <v>11898.66</v>
      </c>
      <c r="G233">
        <v>9.35</v>
      </c>
      <c r="H233">
        <v>24</v>
      </c>
      <c r="I233" t="s">
        <v>27</v>
      </c>
      <c r="J233">
        <v>0</v>
      </c>
      <c r="K233">
        <f t="shared" ca="1" si="18"/>
        <v>120</v>
      </c>
      <c r="L233">
        <f t="shared" ca="1" si="19"/>
        <v>1</v>
      </c>
      <c r="M233" t="str">
        <f t="shared" ca="1" si="20"/>
        <v>High</v>
      </c>
      <c r="N233">
        <f t="shared" ca="1" si="21"/>
        <v>6</v>
      </c>
      <c r="O233">
        <f t="shared" ca="1" si="22"/>
        <v>2.4</v>
      </c>
      <c r="P233">
        <f t="shared" ca="1" si="23"/>
        <v>0</v>
      </c>
    </row>
    <row r="234" spans="1:16" x14ac:dyDescent="0.3">
      <c r="A234" t="s">
        <v>442</v>
      </c>
      <c r="B234" t="s">
        <v>443</v>
      </c>
      <c r="C234" t="s">
        <v>54</v>
      </c>
      <c r="D234" t="s">
        <v>22</v>
      </c>
      <c r="E234" s="1">
        <v>46144</v>
      </c>
      <c r="F234">
        <v>86104.18</v>
      </c>
      <c r="G234">
        <v>15.53</v>
      </c>
      <c r="H234">
        <v>120</v>
      </c>
      <c r="I234" t="s">
        <v>27</v>
      </c>
      <c r="J234">
        <v>0</v>
      </c>
      <c r="K234">
        <f t="shared" ca="1" si="18"/>
        <v>0</v>
      </c>
      <c r="L234">
        <f t="shared" ca="1" si="19"/>
        <v>0</v>
      </c>
      <c r="M234" t="str">
        <f t="shared" ca="1" si="20"/>
        <v>Low</v>
      </c>
      <c r="N234">
        <f t="shared" ca="1" si="21"/>
        <v>1.2</v>
      </c>
      <c r="O234">
        <f t="shared" ca="1" si="22"/>
        <v>0</v>
      </c>
      <c r="P234">
        <f t="shared" ca="1" si="23"/>
        <v>67161.260399999985</v>
      </c>
    </row>
    <row r="235" spans="1:16" x14ac:dyDescent="0.3">
      <c r="A235" t="s">
        <v>444</v>
      </c>
      <c r="B235" t="s">
        <v>445</v>
      </c>
      <c r="C235" t="s">
        <v>25</v>
      </c>
      <c r="D235" t="s">
        <v>13</v>
      </c>
      <c r="E235" s="1">
        <v>45973</v>
      </c>
      <c r="F235">
        <v>53442.25</v>
      </c>
      <c r="G235">
        <v>17.25</v>
      </c>
      <c r="H235">
        <v>24</v>
      </c>
      <c r="I235" t="s">
        <v>14</v>
      </c>
      <c r="J235">
        <v>39013</v>
      </c>
      <c r="K235">
        <f t="shared" ca="1" si="18"/>
        <v>45</v>
      </c>
      <c r="L235">
        <f t="shared" ca="1" si="19"/>
        <v>0</v>
      </c>
      <c r="M235" t="str">
        <f t="shared" ca="1" si="20"/>
        <v>Medium</v>
      </c>
      <c r="N235">
        <f t="shared" ca="1" si="21"/>
        <v>1.2000000000000002</v>
      </c>
      <c r="O235">
        <f t="shared" ca="1" si="22"/>
        <v>0</v>
      </c>
      <c r="P235">
        <f t="shared" ca="1" si="23"/>
        <v>0</v>
      </c>
    </row>
    <row r="236" spans="1:16" x14ac:dyDescent="0.3">
      <c r="A236" t="s">
        <v>446</v>
      </c>
      <c r="B236" t="s">
        <v>447</v>
      </c>
      <c r="C236" t="s">
        <v>33</v>
      </c>
      <c r="D236" t="s">
        <v>22</v>
      </c>
      <c r="E236" s="1">
        <v>46127</v>
      </c>
      <c r="F236">
        <v>57339.75</v>
      </c>
      <c r="G236">
        <v>20.350000000000001</v>
      </c>
      <c r="H236">
        <v>60</v>
      </c>
      <c r="I236" t="s">
        <v>14</v>
      </c>
      <c r="J236">
        <v>25229</v>
      </c>
      <c r="K236">
        <f t="shared" ca="1" si="18"/>
        <v>0</v>
      </c>
      <c r="L236">
        <f t="shared" ca="1" si="19"/>
        <v>0</v>
      </c>
      <c r="M236" t="str">
        <f t="shared" ca="1" si="20"/>
        <v>Low</v>
      </c>
      <c r="N236">
        <f t="shared" ca="1" si="21"/>
        <v>0.6</v>
      </c>
      <c r="O236">
        <f t="shared" ca="1" si="22"/>
        <v>0</v>
      </c>
      <c r="P236">
        <f t="shared" ca="1" si="23"/>
        <v>48738.787499999999</v>
      </c>
    </row>
    <row r="237" spans="1:16" x14ac:dyDescent="0.3">
      <c r="A237" t="s">
        <v>448</v>
      </c>
      <c r="B237" t="s">
        <v>449</v>
      </c>
      <c r="C237" t="s">
        <v>54</v>
      </c>
      <c r="D237" t="s">
        <v>18</v>
      </c>
      <c r="E237" s="1">
        <v>45536</v>
      </c>
      <c r="F237">
        <v>56665.22</v>
      </c>
      <c r="G237">
        <v>4.71</v>
      </c>
      <c r="H237">
        <v>12</v>
      </c>
      <c r="I237" t="s">
        <v>14</v>
      </c>
      <c r="J237">
        <v>38532</v>
      </c>
      <c r="K237">
        <f t="shared" ca="1" si="18"/>
        <v>0</v>
      </c>
      <c r="L237">
        <f t="shared" ca="1" si="19"/>
        <v>0</v>
      </c>
      <c r="M237" t="str">
        <f t="shared" ca="1" si="20"/>
        <v>Low</v>
      </c>
      <c r="N237">
        <f t="shared" ca="1" si="21"/>
        <v>0.12</v>
      </c>
      <c r="O237">
        <f t="shared" ca="1" si="22"/>
        <v>0</v>
      </c>
      <c r="P237">
        <f t="shared" ca="1" si="23"/>
        <v>0</v>
      </c>
    </row>
    <row r="238" spans="1:16" x14ac:dyDescent="0.3">
      <c r="A238" t="s">
        <v>450</v>
      </c>
      <c r="B238" t="s">
        <v>451</v>
      </c>
      <c r="C238" t="s">
        <v>12</v>
      </c>
      <c r="D238" t="s">
        <v>75</v>
      </c>
      <c r="E238" s="1">
        <v>45773</v>
      </c>
      <c r="F238">
        <v>26849.52</v>
      </c>
      <c r="G238">
        <v>10.47</v>
      </c>
      <c r="H238">
        <v>120</v>
      </c>
      <c r="I238" t="s">
        <v>14</v>
      </c>
      <c r="J238">
        <v>21211</v>
      </c>
      <c r="K238">
        <f t="shared" ca="1" si="18"/>
        <v>15</v>
      </c>
      <c r="L238">
        <f t="shared" ca="1" si="19"/>
        <v>0</v>
      </c>
      <c r="M238" t="str">
        <f t="shared" ca="1" si="20"/>
        <v>Low</v>
      </c>
      <c r="N238">
        <f t="shared" ca="1" si="21"/>
        <v>1.2</v>
      </c>
      <c r="O238">
        <f t="shared" ca="1" si="22"/>
        <v>0</v>
      </c>
      <c r="P238">
        <f t="shared" ca="1" si="23"/>
        <v>28728.986400000002</v>
      </c>
    </row>
    <row r="239" spans="1:16" x14ac:dyDescent="0.3">
      <c r="A239" t="s">
        <v>452</v>
      </c>
      <c r="B239" t="s">
        <v>453</v>
      </c>
      <c r="C239" t="s">
        <v>25</v>
      </c>
      <c r="D239" t="s">
        <v>26</v>
      </c>
      <c r="E239" s="1">
        <v>45978</v>
      </c>
      <c r="F239">
        <v>84465.46</v>
      </c>
      <c r="G239">
        <v>10.74</v>
      </c>
      <c r="H239">
        <v>72</v>
      </c>
      <c r="I239" t="s">
        <v>14</v>
      </c>
      <c r="J239">
        <v>66728</v>
      </c>
      <c r="K239">
        <f t="shared" ca="1" si="18"/>
        <v>90</v>
      </c>
      <c r="L239">
        <f t="shared" ca="1" si="19"/>
        <v>1</v>
      </c>
      <c r="M239" t="str">
        <f t="shared" ca="1" si="20"/>
        <v>High</v>
      </c>
      <c r="N239">
        <f t="shared" ca="1" si="21"/>
        <v>18</v>
      </c>
      <c r="O239">
        <f t="shared" ca="1" si="22"/>
        <v>7.2</v>
      </c>
      <c r="P239">
        <f t="shared" ca="1" si="23"/>
        <v>83620.805400000012</v>
      </c>
    </row>
    <row r="240" spans="1:16" x14ac:dyDescent="0.3">
      <c r="A240" t="s">
        <v>454</v>
      </c>
      <c r="B240" t="s">
        <v>417</v>
      </c>
      <c r="C240" t="s">
        <v>25</v>
      </c>
      <c r="D240" t="s">
        <v>18</v>
      </c>
      <c r="E240" s="1">
        <v>45386</v>
      </c>
      <c r="F240">
        <v>25795.66</v>
      </c>
      <c r="G240">
        <v>11.96</v>
      </c>
      <c r="H240">
        <v>120</v>
      </c>
      <c r="I240" t="s">
        <v>14</v>
      </c>
      <c r="J240">
        <v>12640</v>
      </c>
      <c r="K240">
        <f t="shared" ca="1" si="18"/>
        <v>30</v>
      </c>
      <c r="L240">
        <f t="shared" ca="1" si="19"/>
        <v>0</v>
      </c>
      <c r="M240" t="str">
        <f t="shared" ca="1" si="20"/>
        <v>Medium</v>
      </c>
      <c r="N240">
        <f t="shared" ca="1" si="21"/>
        <v>6</v>
      </c>
      <c r="O240">
        <f t="shared" ca="1" si="22"/>
        <v>0</v>
      </c>
      <c r="P240">
        <f t="shared" ca="1" si="23"/>
        <v>0</v>
      </c>
    </row>
    <row r="241" spans="1:16" x14ac:dyDescent="0.3">
      <c r="A241" t="s">
        <v>455</v>
      </c>
      <c r="B241" t="s">
        <v>456</v>
      </c>
      <c r="C241" t="s">
        <v>17</v>
      </c>
      <c r="D241" t="s">
        <v>18</v>
      </c>
      <c r="E241" s="1">
        <v>46042</v>
      </c>
      <c r="F241">
        <v>67952.39</v>
      </c>
      <c r="G241">
        <v>17.260000000000002</v>
      </c>
      <c r="H241">
        <v>72</v>
      </c>
      <c r="I241" t="s">
        <v>14</v>
      </c>
      <c r="J241">
        <v>44849</v>
      </c>
      <c r="K241">
        <f t="shared" ca="1" si="18"/>
        <v>0</v>
      </c>
      <c r="L241">
        <f t="shared" ca="1" si="19"/>
        <v>0</v>
      </c>
      <c r="M241" t="str">
        <f t="shared" ca="1" si="20"/>
        <v>Low</v>
      </c>
      <c r="N241">
        <f t="shared" ca="1" si="21"/>
        <v>0.72</v>
      </c>
      <c r="O241">
        <f t="shared" ca="1" si="22"/>
        <v>0</v>
      </c>
      <c r="P241">
        <f t="shared" ca="1" si="23"/>
        <v>0</v>
      </c>
    </row>
    <row r="242" spans="1:16" x14ac:dyDescent="0.3">
      <c r="A242" t="s">
        <v>457</v>
      </c>
      <c r="B242" t="s">
        <v>458</v>
      </c>
      <c r="C242" t="s">
        <v>36</v>
      </c>
      <c r="D242" t="s">
        <v>30</v>
      </c>
      <c r="E242" s="1">
        <v>45470</v>
      </c>
      <c r="F242">
        <v>74462.570000000007</v>
      </c>
      <c r="G242">
        <v>15.07</v>
      </c>
      <c r="H242">
        <v>180</v>
      </c>
      <c r="I242" t="s">
        <v>14</v>
      </c>
      <c r="J242">
        <v>36487</v>
      </c>
      <c r="K242">
        <f t="shared" ca="1" si="18"/>
        <v>0</v>
      </c>
      <c r="L242">
        <f t="shared" ca="1" si="19"/>
        <v>0</v>
      </c>
      <c r="M242" t="str">
        <f t="shared" ca="1" si="20"/>
        <v>Low</v>
      </c>
      <c r="N242">
        <f t="shared" ca="1" si="21"/>
        <v>1.8</v>
      </c>
      <c r="O242">
        <f t="shared" ca="1" si="22"/>
        <v>0</v>
      </c>
      <c r="P242">
        <f t="shared" ca="1" si="23"/>
        <v>0</v>
      </c>
    </row>
    <row r="243" spans="1:16" x14ac:dyDescent="0.3">
      <c r="A243" t="s">
        <v>459</v>
      </c>
      <c r="B243" t="s">
        <v>38</v>
      </c>
      <c r="C243" t="s">
        <v>25</v>
      </c>
      <c r="D243" t="s">
        <v>22</v>
      </c>
      <c r="E243" s="1">
        <v>45923</v>
      </c>
      <c r="F243">
        <v>65152.29</v>
      </c>
      <c r="G243">
        <v>9.6</v>
      </c>
      <c r="H243">
        <v>60</v>
      </c>
      <c r="I243" t="s">
        <v>14</v>
      </c>
      <c r="J243">
        <v>47561</v>
      </c>
      <c r="K243">
        <f t="shared" ca="1" si="18"/>
        <v>45</v>
      </c>
      <c r="L243">
        <f t="shared" ca="1" si="19"/>
        <v>0</v>
      </c>
      <c r="M243" t="str">
        <f t="shared" ca="1" si="20"/>
        <v>Medium</v>
      </c>
      <c r="N243">
        <f t="shared" ca="1" si="21"/>
        <v>3</v>
      </c>
      <c r="O243">
        <f t="shared" ca="1" si="22"/>
        <v>0</v>
      </c>
      <c r="P243">
        <f t="shared" ca="1" si="23"/>
        <v>63197.721299999997</v>
      </c>
    </row>
    <row r="244" spans="1:16" x14ac:dyDescent="0.3">
      <c r="A244" t="s">
        <v>460</v>
      </c>
      <c r="B244" t="s">
        <v>432</v>
      </c>
      <c r="C244" t="s">
        <v>70</v>
      </c>
      <c r="D244" t="s">
        <v>30</v>
      </c>
      <c r="E244" s="1">
        <v>45825</v>
      </c>
      <c r="F244">
        <v>42283.99</v>
      </c>
      <c r="G244">
        <v>12.05</v>
      </c>
      <c r="H244">
        <v>120</v>
      </c>
      <c r="I244" t="s">
        <v>27</v>
      </c>
      <c r="J244">
        <v>0</v>
      </c>
      <c r="K244">
        <f t="shared" ca="1" si="18"/>
        <v>0</v>
      </c>
      <c r="L244">
        <f t="shared" ca="1" si="19"/>
        <v>0</v>
      </c>
      <c r="M244" t="str">
        <f t="shared" ca="1" si="20"/>
        <v>Low</v>
      </c>
      <c r="N244">
        <f t="shared" ca="1" si="21"/>
        <v>1.2</v>
      </c>
      <c r="O244">
        <f t="shared" ca="1" si="22"/>
        <v>0</v>
      </c>
      <c r="P244">
        <f t="shared" ca="1" si="23"/>
        <v>0</v>
      </c>
    </row>
    <row r="245" spans="1:16" x14ac:dyDescent="0.3">
      <c r="A245" t="s">
        <v>461</v>
      </c>
      <c r="B245" t="s">
        <v>314</v>
      </c>
      <c r="C245" t="s">
        <v>12</v>
      </c>
      <c r="D245" t="s">
        <v>75</v>
      </c>
      <c r="E245" s="1">
        <v>46050</v>
      </c>
      <c r="F245">
        <v>23087.46</v>
      </c>
      <c r="G245">
        <v>19.489999999999998</v>
      </c>
      <c r="H245">
        <v>240</v>
      </c>
      <c r="I245" t="s">
        <v>14</v>
      </c>
      <c r="J245">
        <v>19624</v>
      </c>
      <c r="K245">
        <f t="shared" ca="1" si="18"/>
        <v>0</v>
      </c>
      <c r="L245">
        <f t="shared" ca="1" si="19"/>
        <v>0</v>
      </c>
      <c r="M245" t="str">
        <f t="shared" ca="1" si="20"/>
        <v>Low</v>
      </c>
      <c r="N245">
        <f t="shared" ca="1" si="21"/>
        <v>2.4</v>
      </c>
      <c r="O245">
        <f t="shared" ca="1" si="22"/>
        <v>0</v>
      </c>
      <c r="P245">
        <f t="shared" ca="1" si="23"/>
        <v>20778.714</v>
      </c>
    </row>
    <row r="246" spans="1:16" x14ac:dyDescent="0.3">
      <c r="A246" t="s">
        <v>462</v>
      </c>
      <c r="B246" t="s">
        <v>356</v>
      </c>
      <c r="C246" t="s">
        <v>12</v>
      </c>
      <c r="D246" t="s">
        <v>75</v>
      </c>
      <c r="E246" s="1">
        <v>45426</v>
      </c>
      <c r="F246">
        <v>53089.57</v>
      </c>
      <c r="G246">
        <v>7</v>
      </c>
      <c r="H246">
        <v>24</v>
      </c>
      <c r="I246" t="s">
        <v>14</v>
      </c>
      <c r="J246">
        <v>39286</v>
      </c>
      <c r="K246">
        <f t="shared" ca="1" si="18"/>
        <v>30</v>
      </c>
      <c r="L246">
        <f t="shared" ca="1" si="19"/>
        <v>0</v>
      </c>
      <c r="M246" t="str">
        <f t="shared" ca="1" si="20"/>
        <v>Medium</v>
      </c>
      <c r="N246">
        <f t="shared" ca="1" si="21"/>
        <v>1.2000000000000002</v>
      </c>
      <c r="O246">
        <f t="shared" ca="1" si="22"/>
        <v>0</v>
      </c>
      <c r="P246">
        <f t="shared" ca="1" si="23"/>
        <v>67423.753899999996</v>
      </c>
    </row>
    <row r="247" spans="1:16" x14ac:dyDescent="0.3">
      <c r="A247" t="s">
        <v>463</v>
      </c>
      <c r="B247" t="s">
        <v>451</v>
      </c>
      <c r="C247" t="s">
        <v>51</v>
      </c>
      <c r="D247" t="s">
        <v>13</v>
      </c>
      <c r="E247" s="1">
        <v>45655</v>
      </c>
      <c r="F247">
        <v>61551.58</v>
      </c>
      <c r="G247">
        <v>8.3800000000000008</v>
      </c>
      <c r="H247">
        <v>24</v>
      </c>
      <c r="I247" t="s">
        <v>14</v>
      </c>
      <c r="J247">
        <v>25852</v>
      </c>
      <c r="K247">
        <f t="shared" ca="1" si="18"/>
        <v>0</v>
      </c>
      <c r="L247">
        <f t="shared" ca="1" si="19"/>
        <v>0</v>
      </c>
      <c r="M247" t="str">
        <f t="shared" ca="1" si="20"/>
        <v>Low</v>
      </c>
      <c r="N247">
        <f t="shared" ca="1" si="21"/>
        <v>0.24</v>
      </c>
      <c r="O247">
        <f t="shared" ca="1" si="22"/>
        <v>0</v>
      </c>
      <c r="P247">
        <f t="shared" ca="1" si="23"/>
        <v>0</v>
      </c>
    </row>
    <row r="248" spans="1:16" x14ac:dyDescent="0.3">
      <c r="A248" t="s">
        <v>464</v>
      </c>
      <c r="B248" t="s">
        <v>465</v>
      </c>
      <c r="C248" t="s">
        <v>36</v>
      </c>
      <c r="D248" t="s">
        <v>18</v>
      </c>
      <c r="E248" s="1">
        <v>46015</v>
      </c>
      <c r="F248">
        <v>24559.09</v>
      </c>
      <c r="G248">
        <v>7.72</v>
      </c>
      <c r="H248">
        <v>180</v>
      </c>
      <c r="I248" t="s">
        <v>19</v>
      </c>
      <c r="J248">
        <v>0</v>
      </c>
      <c r="K248">
        <f t="shared" ca="1" si="18"/>
        <v>0</v>
      </c>
      <c r="L248">
        <f t="shared" ca="1" si="19"/>
        <v>0</v>
      </c>
      <c r="M248" t="str">
        <f t="shared" ca="1" si="20"/>
        <v>Low</v>
      </c>
      <c r="N248">
        <f t="shared" ca="1" si="21"/>
        <v>1.8</v>
      </c>
      <c r="O248">
        <f t="shared" ca="1" si="22"/>
        <v>0</v>
      </c>
      <c r="P248">
        <f t="shared" ca="1" si="23"/>
        <v>0</v>
      </c>
    </row>
    <row r="249" spans="1:16" x14ac:dyDescent="0.3">
      <c r="A249" t="s">
        <v>466</v>
      </c>
      <c r="B249" t="s">
        <v>187</v>
      </c>
      <c r="C249" t="s">
        <v>17</v>
      </c>
      <c r="D249" t="s">
        <v>26</v>
      </c>
      <c r="E249" s="1">
        <v>46182</v>
      </c>
      <c r="F249">
        <v>2642.6</v>
      </c>
      <c r="G249">
        <v>8.75</v>
      </c>
      <c r="H249">
        <v>48</v>
      </c>
      <c r="I249" t="s">
        <v>14</v>
      </c>
      <c r="J249">
        <v>1982</v>
      </c>
      <c r="K249">
        <f t="shared" ca="1" si="18"/>
        <v>15</v>
      </c>
      <c r="L249">
        <f t="shared" ca="1" si="19"/>
        <v>0</v>
      </c>
      <c r="M249" t="str">
        <f t="shared" ca="1" si="20"/>
        <v>Low</v>
      </c>
      <c r="N249">
        <f t="shared" ca="1" si="21"/>
        <v>0.48</v>
      </c>
      <c r="O249">
        <f t="shared" ca="1" si="22"/>
        <v>0</v>
      </c>
      <c r="P249">
        <f t="shared" ca="1" si="23"/>
        <v>3144.6939999999995</v>
      </c>
    </row>
    <row r="250" spans="1:16" x14ac:dyDescent="0.3">
      <c r="A250" t="s">
        <v>467</v>
      </c>
      <c r="B250" t="s">
        <v>406</v>
      </c>
      <c r="C250" t="s">
        <v>51</v>
      </c>
      <c r="D250" t="s">
        <v>30</v>
      </c>
      <c r="E250" s="1">
        <v>45319</v>
      </c>
      <c r="F250">
        <v>67185.58</v>
      </c>
      <c r="G250">
        <v>9.6</v>
      </c>
      <c r="H250">
        <v>180</v>
      </c>
      <c r="I250" t="s">
        <v>14</v>
      </c>
      <c r="J250">
        <v>49045</v>
      </c>
      <c r="K250">
        <f t="shared" ca="1" si="18"/>
        <v>0</v>
      </c>
      <c r="L250">
        <f t="shared" ca="1" si="19"/>
        <v>0</v>
      </c>
      <c r="M250" t="str">
        <f t="shared" ca="1" si="20"/>
        <v>Low</v>
      </c>
      <c r="N250">
        <f t="shared" ca="1" si="21"/>
        <v>1.8</v>
      </c>
      <c r="O250">
        <f t="shared" ca="1" si="22"/>
        <v>0</v>
      </c>
      <c r="P250">
        <f t="shared" ca="1" si="23"/>
        <v>0</v>
      </c>
    </row>
    <row r="251" spans="1:16" x14ac:dyDescent="0.3">
      <c r="A251" t="s">
        <v>468</v>
      </c>
      <c r="B251" t="s">
        <v>469</v>
      </c>
      <c r="C251" t="s">
        <v>51</v>
      </c>
      <c r="D251" t="s">
        <v>30</v>
      </c>
      <c r="E251" s="1">
        <v>45681</v>
      </c>
      <c r="F251">
        <v>99163.08</v>
      </c>
      <c r="G251">
        <v>15.6</v>
      </c>
      <c r="H251">
        <v>72</v>
      </c>
      <c r="I251" t="s">
        <v>27</v>
      </c>
      <c r="J251">
        <v>0</v>
      </c>
      <c r="K251">
        <f t="shared" ca="1" si="18"/>
        <v>15</v>
      </c>
      <c r="L251">
        <f t="shared" ca="1" si="19"/>
        <v>0</v>
      </c>
      <c r="M251" t="str">
        <f t="shared" ca="1" si="20"/>
        <v>Low</v>
      </c>
      <c r="N251">
        <f t="shared" ca="1" si="21"/>
        <v>0.72</v>
      </c>
      <c r="O251">
        <f t="shared" ca="1" si="22"/>
        <v>0</v>
      </c>
      <c r="P251">
        <f t="shared" ca="1" si="23"/>
        <v>0</v>
      </c>
    </row>
    <row r="252" spans="1:16" x14ac:dyDescent="0.3">
      <c r="A252" t="s">
        <v>470</v>
      </c>
      <c r="B252" t="s">
        <v>229</v>
      </c>
      <c r="C252" t="s">
        <v>36</v>
      </c>
      <c r="D252" t="s">
        <v>75</v>
      </c>
      <c r="E252" s="1">
        <v>45498</v>
      </c>
      <c r="F252">
        <v>82031.22</v>
      </c>
      <c r="G252">
        <v>20.7</v>
      </c>
      <c r="H252">
        <v>120</v>
      </c>
      <c r="I252" t="s">
        <v>19</v>
      </c>
      <c r="J252">
        <v>0</v>
      </c>
      <c r="K252">
        <f t="shared" ca="1" si="18"/>
        <v>0</v>
      </c>
      <c r="L252">
        <f t="shared" ca="1" si="19"/>
        <v>0</v>
      </c>
      <c r="M252" t="str">
        <f t="shared" ca="1" si="20"/>
        <v>Low</v>
      </c>
      <c r="N252">
        <f t="shared" ca="1" si="21"/>
        <v>1.2</v>
      </c>
      <c r="O252">
        <f t="shared" ca="1" si="22"/>
        <v>0</v>
      </c>
      <c r="P252">
        <f t="shared" ca="1" si="23"/>
        <v>94335.903000000006</v>
      </c>
    </row>
    <row r="253" spans="1:16" x14ac:dyDescent="0.3">
      <c r="A253" t="s">
        <v>471</v>
      </c>
      <c r="B253" t="s">
        <v>472</v>
      </c>
      <c r="C253" t="s">
        <v>36</v>
      </c>
      <c r="D253" t="s">
        <v>22</v>
      </c>
      <c r="E253" s="1">
        <v>45963</v>
      </c>
      <c r="F253">
        <v>87844.01</v>
      </c>
      <c r="G253">
        <v>12.51</v>
      </c>
      <c r="H253">
        <v>48</v>
      </c>
      <c r="I253" t="s">
        <v>14</v>
      </c>
      <c r="J253">
        <v>69397</v>
      </c>
      <c r="K253">
        <f t="shared" ca="1" si="18"/>
        <v>90</v>
      </c>
      <c r="L253">
        <f t="shared" ca="1" si="19"/>
        <v>1</v>
      </c>
      <c r="M253" t="str">
        <f t="shared" ca="1" si="20"/>
        <v>High</v>
      </c>
      <c r="N253">
        <f t="shared" ca="1" si="21"/>
        <v>12</v>
      </c>
      <c r="O253">
        <f t="shared" ca="1" si="22"/>
        <v>5.76</v>
      </c>
      <c r="P253">
        <f t="shared" ca="1" si="23"/>
        <v>91357.770399999994</v>
      </c>
    </row>
    <row r="254" spans="1:16" x14ac:dyDescent="0.3">
      <c r="A254" t="s">
        <v>473</v>
      </c>
      <c r="B254" t="s">
        <v>474</v>
      </c>
      <c r="C254" t="s">
        <v>123</v>
      </c>
      <c r="D254" t="s">
        <v>18</v>
      </c>
      <c r="E254" s="1">
        <v>45991</v>
      </c>
      <c r="F254">
        <v>96752.42</v>
      </c>
      <c r="G254">
        <v>13.67</v>
      </c>
      <c r="H254">
        <v>72</v>
      </c>
      <c r="I254" t="s">
        <v>14</v>
      </c>
      <c r="J254">
        <v>69662</v>
      </c>
      <c r="K254">
        <f t="shared" ca="1" si="18"/>
        <v>30</v>
      </c>
      <c r="L254">
        <f t="shared" ca="1" si="19"/>
        <v>0</v>
      </c>
      <c r="M254" t="str">
        <f t="shared" ca="1" si="20"/>
        <v>Medium</v>
      </c>
      <c r="N254">
        <f t="shared" ca="1" si="21"/>
        <v>3.6</v>
      </c>
      <c r="O254">
        <f t="shared" ca="1" si="22"/>
        <v>0</v>
      </c>
      <c r="P254">
        <f t="shared" ca="1" si="23"/>
        <v>0</v>
      </c>
    </row>
    <row r="255" spans="1:16" x14ac:dyDescent="0.3">
      <c r="A255" t="s">
        <v>475</v>
      </c>
      <c r="B255" t="s">
        <v>476</v>
      </c>
      <c r="C255" t="s">
        <v>17</v>
      </c>
      <c r="D255" t="s">
        <v>18</v>
      </c>
      <c r="E255" s="1">
        <v>46082</v>
      </c>
      <c r="F255">
        <v>59640.39</v>
      </c>
      <c r="G255">
        <v>10.92</v>
      </c>
      <c r="H255">
        <v>60</v>
      </c>
      <c r="I255" t="s">
        <v>19</v>
      </c>
      <c r="J255">
        <v>0</v>
      </c>
      <c r="K255">
        <f t="shared" ca="1" si="18"/>
        <v>0</v>
      </c>
      <c r="L255">
        <f t="shared" ca="1" si="19"/>
        <v>0</v>
      </c>
      <c r="M255" t="str">
        <f t="shared" ca="1" si="20"/>
        <v>Low</v>
      </c>
      <c r="N255">
        <f t="shared" ca="1" si="21"/>
        <v>0.6</v>
      </c>
      <c r="O255">
        <f t="shared" ca="1" si="22"/>
        <v>0</v>
      </c>
      <c r="P255">
        <f t="shared" ca="1" si="23"/>
        <v>0</v>
      </c>
    </row>
    <row r="256" spans="1:16" x14ac:dyDescent="0.3">
      <c r="A256" t="s">
        <v>477</v>
      </c>
      <c r="B256" t="s">
        <v>478</v>
      </c>
      <c r="C256" t="s">
        <v>54</v>
      </c>
      <c r="D256" t="s">
        <v>13</v>
      </c>
      <c r="E256" s="1">
        <v>46093</v>
      </c>
      <c r="F256">
        <v>11450.26</v>
      </c>
      <c r="G256">
        <v>15.14</v>
      </c>
      <c r="H256">
        <v>240</v>
      </c>
      <c r="I256" t="s">
        <v>14</v>
      </c>
      <c r="J256">
        <v>7786</v>
      </c>
      <c r="K256">
        <f t="shared" ca="1" si="18"/>
        <v>0</v>
      </c>
      <c r="L256">
        <f t="shared" ca="1" si="19"/>
        <v>0</v>
      </c>
      <c r="M256" t="str">
        <f t="shared" ca="1" si="20"/>
        <v>Low</v>
      </c>
      <c r="N256">
        <f t="shared" ca="1" si="21"/>
        <v>2.4</v>
      </c>
      <c r="O256">
        <f t="shared" ca="1" si="22"/>
        <v>0</v>
      </c>
      <c r="P256">
        <f t="shared" ca="1" si="23"/>
        <v>0</v>
      </c>
    </row>
    <row r="257" spans="1:16" x14ac:dyDescent="0.3">
      <c r="A257" t="s">
        <v>479</v>
      </c>
      <c r="B257" t="s">
        <v>480</v>
      </c>
      <c r="C257" t="s">
        <v>39</v>
      </c>
      <c r="D257" t="s">
        <v>26</v>
      </c>
      <c r="E257" s="1">
        <v>45575</v>
      </c>
      <c r="F257">
        <v>87532.66</v>
      </c>
      <c r="G257">
        <v>10.53</v>
      </c>
      <c r="H257">
        <v>72</v>
      </c>
      <c r="I257" t="s">
        <v>14</v>
      </c>
      <c r="J257">
        <v>60398</v>
      </c>
      <c r="K257">
        <f t="shared" ca="1" si="18"/>
        <v>30</v>
      </c>
      <c r="L257">
        <f t="shared" ca="1" si="19"/>
        <v>0</v>
      </c>
      <c r="M257" t="str">
        <f t="shared" ca="1" si="20"/>
        <v>Medium</v>
      </c>
      <c r="N257">
        <f t="shared" ca="1" si="21"/>
        <v>3.6</v>
      </c>
      <c r="O257">
        <f t="shared" ca="1" si="22"/>
        <v>0</v>
      </c>
      <c r="P257">
        <f t="shared" ca="1" si="23"/>
        <v>72652.107799999998</v>
      </c>
    </row>
    <row r="258" spans="1:16" x14ac:dyDescent="0.3">
      <c r="A258" t="s">
        <v>481</v>
      </c>
      <c r="B258" t="s">
        <v>478</v>
      </c>
      <c r="C258" t="s">
        <v>39</v>
      </c>
      <c r="D258" t="s">
        <v>75</v>
      </c>
      <c r="E258" s="1">
        <v>45616</v>
      </c>
      <c r="F258">
        <v>39394.54</v>
      </c>
      <c r="G258">
        <v>7.87</v>
      </c>
      <c r="H258">
        <v>240</v>
      </c>
      <c r="I258" t="s">
        <v>27</v>
      </c>
      <c r="J258">
        <v>0</v>
      </c>
      <c r="K258">
        <f t="shared" ca="1" si="18"/>
        <v>0</v>
      </c>
      <c r="L258">
        <f t="shared" ca="1" si="19"/>
        <v>0</v>
      </c>
      <c r="M258" t="str">
        <f t="shared" ca="1" si="20"/>
        <v>Low</v>
      </c>
      <c r="N258">
        <f t="shared" ca="1" si="21"/>
        <v>2.4</v>
      </c>
      <c r="O258">
        <f t="shared" ca="1" si="22"/>
        <v>0</v>
      </c>
      <c r="P258">
        <f t="shared" ca="1" si="23"/>
        <v>42546.103200000005</v>
      </c>
    </row>
    <row r="259" spans="1:16" x14ac:dyDescent="0.3">
      <c r="A259" t="s">
        <v>482</v>
      </c>
      <c r="B259" t="s">
        <v>414</v>
      </c>
      <c r="C259" t="s">
        <v>17</v>
      </c>
      <c r="D259" t="s">
        <v>26</v>
      </c>
      <c r="E259" s="1">
        <v>45657</v>
      </c>
      <c r="F259">
        <v>90217.46</v>
      </c>
      <c r="G259">
        <v>12.15</v>
      </c>
      <c r="H259">
        <v>180</v>
      </c>
      <c r="I259" t="s">
        <v>14</v>
      </c>
      <c r="J259">
        <v>80294</v>
      </c>
      <c r="K259">
        <f t="shared" ref="K259:K322" ca="1" si="24">IF(I259="Paid Off",0,CHOOSE(RANDBETWEEN(1,10),0,0,0,0,15,30,45,60,90,120))</f>
        <v>0</v>
      </c>
      <c r="L259">
        <f t="shared" ref="L259:L322" ca="1" si="25">IF(K259&gt;=90,1,0)</f>
        <v>0</v>
      </c>
      <c r="M259" t="str">
        <f t="shared" ref="M259:M322" ca="1" si="26">IF(K259&gt;=90,"High",IF(K259&gt;=30,"Medium","Low"))</f>
        <v>Low</v>
      </c>
      <c r="N259">
        <f t="shared" ref="N259:N322" ca="1" si="27">IF(L259=1,H259*0.25,IF(K259&gt;=60,H259*0.1,IF(K259&gt;=30,H259*0.05,H259*0.01)))</f>
        <v>1.8</v>
      </c>
      <c r="O259">
        <f t="shared" ref="O259:O322" ca="1" si="28">IF(L259=1,H259*RANDBETWEEN(5,30)/100,0)</f>
        <v>0</v>
      </c>
      <c r="P259">
        <f t="shared" ref="P259:P322" ca="1" si="29">IF(OR(D259="P02",D259="P03",D259="P05"),F259*RANDBETWEEN(70,130)/100,0)</f>
        <v>100141.3806</v>
      </c>
    </row>
    <row r="260" spans="1:16" x14ac:dyDescent="0.3">
      <c r="A260" t="s">
        <v>483</v>
      </c>
      <c r="B260" t="s">
        <v>251</v>
      </c>
      <c r="C260" t="s">
        <v>12</v>
      </c>
      <c r="D260" t="s">
        <v>22</v>
      </c>
      <c r="E260" s="1">
        <v>46158</v>
      </c>
      <c r="F260">
        <v>65853.94</v>
      </c>
      <c r="G260">
        <v>20.81</v>
      </c>
      <c r="H260">
        <v>36</v>
      </c>
      <c r="I260" t="s">
        <v>14</v>
      </c>
      <c r="J260">
        <v>38195</v>
      </c>
      <c r="K260">
        <f t="shared" ca="1" si="24"/>
        <v>120</v>
      </c>
      <c r="L260">
        <f t="shared" ca="1" si="25"/>
        <v>1</v>
      </c>
      <c r="M260" t="str">
        <f t="shared" ca="1" si="26"/>
        <v>High</v>
      </c>
      <c r="N260">
        <f t="shared" ca="1" si="27"/>
        <v>9</v>
      </c>
      <c r="O260">
        <f t="shared" ca="1" si="28"/>
        <v>10.8</v>
      </c>
      <c r="P260">
        <f t="shared" ca="1" si="29"/>
        <v>71780.794599999994</v>
      </c>
    </row>
    <row r="261" spans="1:16" x14ac:dyDescent="0.3">
      <c r="A261" t="s">
        <v>484</v>
      </c>
      <c r="B261" t="s">
        <v>399</v>
      </c>
      <c r="C261" t="s">
        <v>39</v>
      </c>
      <c r="D261" t="s">
        <v>75</v>
      </c>
      <c r="E261" s="1">
        <v>45335</v>
      </c>
      <c r="F261">
        <v>2275.4899999999998</v>
      </c>
      <c r="G261">
        <v>15.97</v>
      </c>
      <c r="H261">
        <v>60</v>
      </c>
      <c r="I261" t="s">
        <v>14</v>
      </c>
      <c r="J261">
        <v>887</v>
      </c>
      <c r="K261">
        <f t="shared" ca="1" si="24"/>
        <v>30</v>
      </c>
      <c r="L261">
        <f t="shared" ca="1" si="25"/>
        <v>0</v>
      </c>
      <c r="M261" t="str">
        <f t="shared" ca="1" si="26"/>
        <v>Medium</v>
      </c>
      <c r="N261">
        <f t="shared" ca="1" si="27"/>
        <v>3</v>
      </c>
      <c r="O261">
        <f t="shared" ca="1" si="28"/>
        <v>0</v>
      </c>
      <c r="P261">
        <f t="shared" ca="1" si="29"/>
        <v>1911.4115999999997</v>
      </c>
    </row>
    <row r="262" spans="1:16" x14ac:dyDescent="0.3">
      <c r="A262" t="s">
        <v>485</v>
      </c>
      <c r="B262" t="s">
        <v>275</v>
      </c>
      <c r="C262" t="s">
        <v>12</v>
      </c>
      <c r="D262" t="s">
        <v>13</v>
      </c>
      <c r="E262" s="1">
        <v>45738</v>
      </c>
      <c r="F262">
        <v>54005.32</v>
      </c>
      <c r="G262">
        <v>16.25</v>
      </c>
      <c r="H262">
        <v>48</v>
      </c>
      <c r="I262" t="s">
        <v>27</v>
      </c>
      <c r="J262">
        <v>0</v>
      </c>
      <c r="K262">
        <f t="shared" ca="1" si="24"/>
        <v>45</v>
      </c>
      <c r="L262">
        <f t="shared" ca="1" si="25"/>
        <v>0</v>
      </c>
      <c r="M262" t="str">
        <f t="shared" ca="1" si="26"/>
        <v>Medium</v>
      </c>
      <c r="N262">
        <f t="shared" ca="1" si="27"/>
        <v>2.4000000000000004</v>
      </c>
      <c r="O262">
        <f t="shared" ca="1" si="28"/>
        <v>0</v>
      </c>
      <c r="P262">
        <f t="shared" ca="1" si="29"/>
        <v>0</v>
      </c>
    </row>
    <row r="263" spans="1:16" x14ac:dyDescent="0.3">
      <c r="A263" t="s">
        <v>486</v>
      </c>
      <c r="B263" t="s">
        <v>132</v>
      </c>
      <c r="C263" t="s">
        <v>17</v>
      </c>
      <c r="D263" t="s">
        <v>26</v>
      </c>
      <c r="E263" s="1">
        <v>45898</v>
      </c>
      <c r="F263">
        <v>22977.43</v>
      </c>
      <c r="G263">
        <v>17.079999999999998</v>
      </c>
      <c r="H263">
        <v>180</v>
      </c>
      <c r="I263" t="s">
        <v>27</v>
      </c>
      <c r="J263">
        <v>0</v>
      </c>
      <c r="K263">
        <f t="shared" ca="1" si="24"/>
        <v>120</v>
      </c>
      <c r="L263">
        <f t="shared" ca="1" si="25"/>
        <v>1</v>
      </c>
      <c r="M263" t="str">
        <f t="shared" ca="1" si="26"/>
        <v>High</v>
      </c>
      <c r="N263">
        <f t="shared" ca="1" si="27"/>
        <v>45</v>
      </c>
      <c r="O263">
        <f t="shared" ca="1" si="28"/>
        <v>46.8</v>
      </c>
      <c r="P263">
        <f t="shared" ca="1" si="29"/>
        <v>29181.3361</v>
      </c>
    </row>
    <row r="264" spans="1:16" x14ac:dyDescent="0.3">
      <c r="A264" t="s">
        <v>487</v>
      </c>
      <c r="B264" t="s">
        <v>347</v>
      </c>
      <c r="C264" t="s">
        <v>25</v>
      </c>
      <c r="D264" t="s">
        <v>26</v>
      </c>
      <c r="E264" s="1">
        <v>45330</v>
      </c>
      <c r="F264">
        <v>16440.38</v>
      </c>
      <c r="G264">
        <v>16.02</v>
      </c>
      <c r="H264">
        <v>36</v>
      </c>
      <c r="I264" t="s">
        <v>14</v>
      </c>
      <c r="J264">
        <v>14468</v>
      </c>
      <c r="K264">
        <f t="shared" ca="1" si="24"/>
        <v>0</v>
      </c>
      <c r="L264">
        <f t="shared" ca="1" si="25"/>
        <v>0</v>
      </c>
      <c r="M264" t="str">
        <f t="shared" ca="1" si="26"/>
        <v>Low</v>
      </c>
      <c r="N264">
        <f t="shared" ca="1" si="27"/>
        <v>0.36</v>
      </c>
      <c r="O264">
        <f t="shared" ca="1" si="28"/>
        <v>0</v>
      </c>
      <c r="P264">
        <f t="shared" ca="1" si="29"/>
        <v>21043.686400000002</v>
      </c>
    </row>
    <row r="265" spans="1:16" x14ac:dyDescent="0.3">
      <c r="A265" t="s">
        <v>488</v>
      </c>
      <c r="B265" t="s">
        <v>489</v>
      </c>
      <c r="C265" t="s">
        <v>33</v>
      </c>
      <c r="D265" t="s">
        <v>22</v>
      </c>
      <c r="E265" s="1">
        <v>45847</v>
      </c>
      <c r="F265">
        <v>96437.79</v>
      </c>
      <c r="G265">
        <v>11.87</v>
      </c>
      <c r="H265">
        <v>12</v>
      </c>
      <c r="I265" t="s">
        <v>14</v>
      </c>
      <c r="J265">
        <v>64613</v>
      </c>
      <c r="K265">
        <f t="shared" ca="1" si="24"/>
        <v>30</v>
      </c>
      <c r="L265">
        <f t="shared" ca="1" si="25"/>
        <v>0</v>
      </c>
      <c r="M265" t="str">
        <f t="shared" ca="1" si="26"/>
        <v>Medium</v>
      </c>
      <c r="N265">
        <f t="shared" ca="1" si="27"/>
        <v>0.60000000000000009</v>
      </c>
      <c r="O265">
        <f t="shared" ca="1" si="28"/>
        <v>0</v>
      </c>
      <c r="P265">
        <f t="shared" ca="1" si="29"/>
        <v>110903.45849999999</v>
      </c>
    </row>
    <row r="266" spans="1:16" x14ac:dyDescent="0.3">
      <c r="A266" t="s">
        <v>490</v>
      </c>
      <c r="B266" t="s">
        <v>491</v>
      </c>
      <c r="C266" t="s">
        <v>54</v>
      </c>
      <c r="D266" t="s">
        <v>13</v>
      </c>
      <c r="E266" s="1">
        <v>45354</v>
      </c>
      <c r="F266">
        <v>64986.55</v>
      </c>
      <c r="G266">
        <v>18.07</v>
      </c>
      <c r="H266">
        <v>48</v>
      </c>
      <c r="I266" t="s">
        <v>14</v>
      </c>
      <c r="J266">
        <v>29894</v>
      </c>
      <c r="K266">
        <f t="shared" ca="1" si="24"/>
        <v>15</v>
      </c>
      <c r="L266">
        <f t="shared" ca="1" si="25"/>
        <v>0</v>
      </c>
      <c r="M266" t="str">
        <f t="shared" ca="1" si="26"/>
        <v>Low</v>
      </c>
      <c r="N266">
        <f t="shared" ca="1" si="27"/>
        <v>0.48</v>
      </c>
      <c r="O266">
        <f t="shared" ca="1" si="28"/>
        <v>0</v>
      </c>
      <c r="P266">
        <f t="shared" ca="1" si="29"/>
        <v>0</v>
      </c>
    </row>
    <row r="267" spans="1:16" x14ac:dyDescent="0.3">
      <c r="A267" t="s">
        <v>492</v>
      </c>
      <c r="B267" t="s">
        <v>114</v>
      </c>
      <c r="C267" t="s">
        <v>39</v>
      </c>
      <c r="D267" t="s">
        <v>13</v>
      </c>
      <c r="E267" s="1">
        <v>46038</v>
      </c>
      <c r="F267">
        <v>7792.19</v>
      </c>
      <c r="G267">
        <v>19.82</v>
      </c>
      <c r="H267">
        <v>72</v>
      </c>
      <c r="I267" t="s">
        <v>14</v>
      </c>
      <c r="J267">
        <v>5455</v>
      </c>
      <c r="K267">
        <f t="shared" ca="1" si="24"/>
        <v>120</v>
      </c>
      <c r="L267">
        <f t="shared" ca="1" si="25"/>
        <v>1</v>
      </c>
      <c r="M267" t="str">
        <f t="shared" ca="1" si="26"/>
        <v>High</v>
      </c>
      <c r="N267">
        <f t="shared" ca="1" si="27"/>
        <v>18</v>
      </c>
      <c r="O267">
        <f t="shared" ca="1" si="28"/>
        <v>6.48</v>
      </c>
      <c r="P267">
        <f t="shared" ca="1" si="29"/>
        <v>0</v>
      </c>
    </row>
    <row r="268" spans="1:16" x14ac:dyDescent="0.3">
      <c r="A268" t="s">
        <v>493</v>
      </c>
      <c r="B268" t="s">
        <v>494</v>
      </c>
      <c r="C268" t="s">
        <v>17</v>
      </c>
      <c r="D268" t="s">
        <v>13</v>
      </c>
      <c r="E268" s="1">
        <v>45456</v>
      </c>
      <c r="F268">
        <v>81746.929999999993</v>
      </c>
      <c r="G268">
        <v>19.86</v>
      </c>
      <c r="H268">
        <v>48</v>
      </c>
      <c r="I268" t="s">
        <v>14</v>
      </c>
      <c r="J268">
        <v>55588</v>
      </c>
      <c r="K268">
        <f t="shared" ca="1" si="24"/>
        <v>0</v>
      </c>
      <c r="L268">
        <f t="shared" ca="1" si="25"/>
        <v>0</v>
      </c>
      <c r="M268" t="str">
        <f t="shared" ca="1" si="26"/>
        <v>Low</v>
      </c>
      <c r="N268">
        <f t="shared" ca="1" si="27"/>
        <v>0.48</v>
      </c>
      <c r="O268">
        <f t="shared" ca="1" si="28"/>
        <v>0</v>
      </c>
      <c r="P268">
        <f t="shared" ca="1" si="29"/>
        <v>0</v>
      </c>
    </row>
    <row r="269" spans="1:16" x14ac:dyDescent="0.3">
      <c r="A269" t="s">
        <v>495</v>
      </c>
      <c r="B269" t="s">
        <v>130</v>
      </c>
      <c r="C269" t="s">
        <v>12</v>
      </c>
      <c r="D269" t="s">
        <v>22</v>
      </c>
      <c r="E269" s="1">
        <v>45796</v>
      </c>
      <c r="F269">
        <v>57527.08</v>
      </c>
      <c r="G269">
        <v>8.94</v>
      </c>
      <c r="H269">
        <v>84</v>
      </c>
      <c r="I269" t="s">
        <v>19</v>
      </c>
      <c r="J269">
        <v>0</v>
      </c>
      <c r="K269">
        <f t="shared" ca="1" si="24"/>
        <v>0</v>
      </c>
      <c r="L269">
        <f t="shared" ca="1" si="25"/>
        <v>0</v>
      </c>
      <c r="M269" t="str">
        <f t="shared" ca="1" si="26"/>
        <v>Low</v>
      </c>
      <c r="N269">
        <f t="shared" ca="1" si="27"/>
        <v>0.84</v>
      </c>
      <c r="O269">
        <f t="shared" ca="1" si="28"/>
        <v>0</v>
      </c>
      <c r="P269">
        <f t="shared" ca="1" si="29"/>
        <v>63855.058799999999</v>
      </c>
    </row>
    <row r="270" spans="1:16" x14ac:dyDescent="0.3">
      <c r="A270" t="s">
        <v>496</v>
      </c>
      <c r="B270" t="s">
        <v>265</v>
      </c>
      <c r="C270" t="s">
        <v>25</v>
      </c>
      <c r="D270" t="s">
        <v>75</v>
      </c>
      <c r="E270" s="1">
        <v>45782</v>
      </c>
      <c r="F270">
        <v>71249.600000000006</v>
      </c>
      <c r="G270">
        <v>14.78</v>
      </c>
      <c r="H270">
        <v>12</v>
      </c>
      <c r="I270" t="s">
        <v>14</v>
      </c>
      <c r="J270">
        <v>66975</v>
      </c>
      <c r="K270">
        <f t="shared" ca="1" si="24"/>
        <v>120</v>
      </c>
      <c r="L270">
        <f t="shared" ca="1" si="25"/>
        <v>1</v>
      </c>
      <c r="M270" t="str">
        <f t="shared" ca="1" si="26"/>
        <v>High</v>
      </c>
      <c r="N270">
        <f t="shared" ca="1" si="27"/>
        <v>3</v>
      </c>
      <c r="O270">
        <f t="shared" ca="1" si="28"/>
        <v>3.24</v>
      </c>
      <c r="P270">
        <f t="shared" ca="1" si="29"/>
        <v>76237.072</v>
      </c>
    </row>
    <row r="271" spans="1:16" x14ac:dyDescent="0.3">
      <c r="A271" t="s">
        <v>497</v>
      </c>
      <c r="B271" t="s">
        <v>38</v>
      </c>
      <c r="C271" t="s">
        <v>123</v>
      </c>
      <c r="D271" t="s">
        <v>22</v>
      </c>
      <c r="E271" s="1">
        <v>45566</v>
      </c>
      <c r="F271">
        <v>27600.11</v>
      </c>
      <c r="G271">
        <v>10.86</v>
      </c>
      <c r="H271">
        <v>36</v>
      </c>
      <c r="I271" t="s">
        <v>14</v>
      </c>
      <c r="J271">
        <v>21252</v>
      </c>
      <c r="K271">
        <f t="shared" ca="1" si="24"/>
        <v>120</v>
      </c>
      <c r="L271">
        <f t="shared" ca="1" si="25"/>
        <v>1</v>
      </c>
      <c r="M271" t="str">
        <f t="shared" ca="1" si="26"/>
        <v>High</v>
      </c>
      <c r="N271">
        <f t="shared" ca="1" si="27"/>
        <v>9</v>
      </c>
      <c r="O271">
        <f t="shared" ca="1" si="28"/>
        <v>3.96</v>
      </c>
      <c r="P271">
        <f t="shared" ca="1" si="29"/>
        <v>27876.111099999998</v>
      </c>
    </row>
    <row r="272" spans="1:16" x14ac:dyDescent="0.3">
      <c r="A272" t="s">
        <v>498</v>
      </c>
      <c r="B272" t="s">
        <v>499</v>
      </c>
      <c r="C272" t="s">
        <v>54</v>
      </c>
      <c r="D272" t="s">
        <v>13</v>
      </c>
      <c r="E272" s="1">
        <v>45794</v>
      </c>
      <c r="F272">
        <v>47233.47</v>
      </c>
      <c r="G272">
        <v>17.850000000000001</v>
      </c>
      <c r="H272">
        <v>48</v>
      </c>
      <c r="I272" t="s">
        <v>27</v>
      </c>
      <c r="J272">
        <v>0</v>
      </c>
      <c r="K272">
        <f t="shared" ca="1" si="24"/>
        <v>15</v>
      </c>
      <c r="L272">
        <f t="shared" ca="1" si="25"/>
        <v>0</v>
      </c>
      <c r="M272" t="str">
        <f t="shared" ca="1" si="26"/>
        <v>Low</v>
      </c>
      <c r="N272">
        <f t="shared" ca="1" si="27"/>
        <v>0.48</v>
      </c>
      <c r="O272">
        <f t="shared" ca="1" si="28"/>
        <v>0</v>
      </c>
      <c r="P272">
        <f t="shared" ca="1" si="29"/>
        <v>0</v>
      </c>
    </row>
    <row r="273" spans="1:16" x14ac:dyDescent="0.3">
      <c r="A273" t="s">
        <v>500</v>
      </c>
      <c r="B273" t="s">
        <v>501</v>
      </c>
      <c r="C273" t="s">
        <v>25</v>
      </c>
      <c r="D273" t="s">
        <v>30</v>
      </c>
      <c r="E273" s="1">
        <v>45743</v>
      </c>
      <c r="F273">
        <v>47791.55</v>
      </c>
      <c r="G273">
        <v>17.3</v>
      </c>
      <c r="H273">
        <v>72</v>
      </c>
      <c r="I273" t="s">
        <v>14</v>
      </c>
      <c r="J273">
        <v>18161</v>
      </c>
      <c r="K273">
        <f t="shared" ca="1" si="24"/>
        <v>120</v>
      </c>
      <c r="L273">
        <f t="shared" ca="1" si="25"/>
        <v>1</v>
      </c>
      <c r="M273" t="str">
        <f t="shared" ca="1" si="26"/>
        <v>High</v>
      </c>
      <c r="N273">
        <f t="shared" ca="1" si="27"/>
        <v>18</v>
      </c>
      <c r="O273">
        <f t="shared" ca="1" si="28"/>
        <v>18</v>
      </c>
      <c r="P273">
        <f t="shared" ca="1" si="29"/>
        <v>0</v>
      </c>
    </row>
    <row r="274" spans="1:16" x14ac:dyDescent="0.3">
      <c r="A274" t="s">
        <v>502</v>
      </c>
      <c r="B274" t="s">
        <v>53</v>
      </c>
      <c r="C274" t="s">
        <v>12</v>
      </c>
      <c r="D274" t="s">
        <v>22</v>
      </c>
      <c r="E274" s="1">
        <v>45465</v>
      </c>
      <c r="F274">
        <v>30623.360000000001</v>
      </c>
      <c r="G274">
        <v>8.0500000000000007</v>
      </c>
      <c r="H274">
        <v>72</v>
      </c>
      <c r="I274" t="s">
        <v>14</v>
      </c>
      <c r="J274">
        <v>23580</v>
      </c>
      <c r="K274">
        <f t="shared" ca="1" si="24"/>
        <v>0</v>
      </c>
      <c r="L274">
        <f t="shared" ca="1" si="25"/>
        <v>0</v>
      </c>
      <c r="M274" t="str">
        <f t="shared" ca="1" si="26"/>
        <v>Low</v>
      </c>
      <c r="N274">
        <f t="shared" ca="1" si="27"/>
        <v>0.72</v>
      </c>
      <c r="O274">
        <f t="shared" ca="1" si="28"/>
        <v>0</v>
      </c>
      <c r="P274">
        <f t="shared" ca="1" si="29"/>
        <v>38585.433599999997</v>
      </c>
    </row>
    <row r="275" spans="1:16" x14ac:dyDescent="0.3">
      <c r="A275" t="s">
        <v>503</v>
      </c>
      <c r="B275" t="s">
        <v>504</v>
      </c>
      <c r="C275" t="s">
        <v>33</v>
      </c>
      <c r="D275" t="s">
        <v>13</v>
      </c>
      <c r="E275" s="1">
        <v>45965</v>
      </c>
      <c r="F275">
        <v>95340.59</v>
      </c>
      <c r="G275">
        <v>7.27</v>
      </c>
      <c r="H275">
        <v>12</v>
      </c>
      <c r="I275" t="s">
        <v>14</v>
      </c>
      <c r="J275">
        <v>60065</v>
      </c>
      <c r="K275">
        <f t="shared" ca="1" si="24"/>
        <v>90</v>
      </c>
      <c r="L275">
        <f t="shared" ca="1" si="25"/>
        <v>1</v>
      </c>
      <c r="M275" t="str">
        <f t="shared" ca="1" si="26"/>
        <v>High</v>
      </c>
      <c r="N275">
        <f t="shared" ca="1" si="27"/>
        <v>3</v>
      </c>
      <c r="O275">
        <f t="shared" ca="1" si="28"/>
        <v>0.6</v>
      </c>
      <c r="P275">
        <f t="shared" ca="1" si="29"/>
        <v>0</v>
      </c>
    </row>
    <row r="276" spans="1:16" x14ac:dyDescent="0.3">
      <c r="A276" t="s">
        <v>505</v>
      </c>
      <c r="B276" t="s">
        <v>506</v>
      </c>
      <c r="C276" t="s">
        <v>12</v>
      </c>
      <c r="D276" t="s">
        <v>30</v>
      </c>
      <c r="E276" s="1">
        <v>46039</v>
      </c>
      <c r="F276">
        <v>54705</v>
      </c>
      <c r="G276">
        <v>6.19</v>
      </c>
      <c r="H276">
        <v>60</v>
      </c>
      <c r="I276" t="s">
        <v>14</v>
      </c>
      <c r="J276">
        <v>41029</v>
      </c>
      <c r="K276">
        <f t="shared" ca="1" si="24"/>
        <v>90</v>
      </c>
      <c r="L276">
        <f t="shared" ca="1" si="25"/>
        <v>1</v>
      </c>
      <c r="M276" t="str">
        <f t="shared" ca="1" si="26"/>
        <v>High</v>
      </c>
      <c r="N276">
        <f t="shared" ca="1" si="27"/>
        <v>15</v>
      </c>
      <c r="O276">
        <f t="shared" ca="1" si="28"/>
        <v>4.8</v>
      </c>
      <c r="P276">
        <f t="shared" ca="1" si="29"/>
        <v>0</v>
      </c>
    </row>
    <row r="277" spans="1:16" x14ac:dyDescent="0.3">
      <c r="A277" t="s">
        <v>507</v>
      </c>
      <c r="B277" t="s">
        <v>508</v>
      </c>
      <c r="C277" t="s">
        <v>25</v>
      </c>
      <c r="D277" t="s">
        <v>75</v>
      </c>
      <c r="E277" s="1">
        <v>45926</v>
      </c>
      <c r="F277">
        <v>62454.11</v>
      </c>
      <c r="G277">
        <v>13.69</v>
      </c>
      <c r="H277">
        <v>48</v>
      </c>
      <c r="I277" t="s">
        <v>14</v>
      </c>
      <c r="J277">
        <v>36223</v>
      </c>
      <c r="K277">
        <f t="shared" ca="1" si="24"/>
        <v>0</v>
      </c>
      <c r="L277">
        <f t="shared" ca="1" si="25"/>
        <v>0</v>
      </c>
      <c r="M277" t="str">
        <f t="shared" ca="1" si="26"/>
        <v>Low</v>
      </c>
      <c r="N277">
        <f t="shared" ca="1" si="27"/>
        <v>0.48</v>
      </c>
      <c r="O277">
        <f t="shared" ca="1" si="28"/>
        <v>0</v>
      </c>
      <c r="P277">
        <f t="shared" ca="1" si="29"/>
        <v>62454.11</v>
      </c>
    </row>
    <row r="278" spans="1:16" x14ac:dyDescent="0.3">
      <c r="A278" t="s">
        <v>509</v>
      </c>
      <c r="B278" t="s">
        <v>510</v>
      </c>
      <c r="C278" t="s">
        <v>17</v>
      </c>
      <c r="D278" t="s">
        <v>75</v>
      </c>
      <c r="E278" s="1">
        <v>45877</v>
      </c>
      <c r="F278">
        <v>65475.02</v>
      </c>
      <c r="G278">
        <v>18.09</v>
      </c>
      <c r="H278">
        <v>24</v>
      </c>
      <c r="I278" t="s">
        <v>14</v>
      </c>
      <c r="J278">
        <v>37976</v>
      </c>
      <c r="K278">
        <f t="shared" ca="1" si="24"/>
        <v>0</v>
      </c>
      <c r="L278">
        <f t="shared" ca="1" si="25"/>
        <v>0</v>
      </c>
      <c r="M278" t="str">
        <f t="shared" ca="1" si="26"/>
        <v>Low</v>
      </c>
      <c r="N278">
        <f t="shared" ca="1" si="27"/>
        <v>0.24</v>
      </c>
      <c r="O278">
        <f t="shared" ca="1" si="28"/>
        <v>0</v>
      </c>
      <c r="P278">
        <f t="shared" ca="1" si="29"/>
        <v>85117.525999999998</v>
      </c>
    </row>
    <row r="279" spans="1:16" x14ac:dyDescent="0.3">
      <c r="A279" t="s">
        <v>511</v>
      </c>
      <c r="B279" t="s">
        <v>474</v>
      </c>
      <c r="C279" t="s">
        <v>33</v>
      </c>
      <c r="D279" t="s">
        <v>22</v>
      </c>
      <c r="E279" s="1">
        <v>46019</v>
      </c>
      <c r="F279">
        <v>37704.46</v>
      </c>
      <c r="G279">
        <v>9.35</v>
      </c>
      <c r="H279">
        <v>360</v>
      </c>
      <c r="I279" t="s">
        <v>19</v>
      </c>
      <c r="J279">
        <v>0</v>
      </c>
      <c r="K279">
        <f t="shared" ca="1" si="24"/>
        <v>0</v>
      </c>
      <c r="L279">
        <f t="shared" ca="1" si="25"/>
        <v>0</v>
      </c>
      <c r="M279" t="str">
        <f t="shared" ca="1" si="26"/>
        <v>Low</v>
      </c>
      <c r="N279">
        <f t="shared" ca="1" si="27"/>
        <v>3.6</v>
      </c>
      <c r="O279">
        <f t="shared" ca="1" si="28"/>
        <v>0</v>
      </c>
      <c r="P279">
        <f t="shared" ca="1" si="29"/>
        <v>32048.791000000001</v>
      </c>
    </row>
    <row r="280" spans="1:16" x14ac:dyDescent="0.3">
      <c r="A280" t="s">
        <v>512</v>
      </c>
      <c r="B280" t="s">
        <v>112</v>
      </c>
      <c r="C280" t="s">
        <v>51</v>
      </c>
      <c r="D280" t="s">
        <v>75</v>
      </c>
      <c r="E280" s="1">
        <v>45732</v>
      </c>
      <c r="F280">
        <v>54695.66</v>
      </c>
      <c r="G280">
        <v>16.02</v>
      </c>
      <c r="H280">
        <v>72</v>
      </c>
      <c r="I280" t="s">
        <v>14</v>
      </c>
      <c r="J280">
        <v>35005</v>
      </c>
      <c r="K280">
        <f t="shared" ca="1" si="24"/>
        <v>30</v>
      </c>
      <c r="L280">
        <f t="shared" ca="1" si="25"/>
        <v>0</v>
      </c>
      <c r="M280" t="str">
        <f t="shared" ca="1" si="26"/>
        <v>Medium</v>
      </c>
      <c r="N280">
        <f t="shared" ca="1" si="27"/>
        <v>3.6</v>
      </c>
      <c r="O280">
        <f t="shared" ca="1" si="28"/>
        <v>0</v>
      </c>
      <c r="P280">
        <f t="shared" ca="1" si="29"/>
        <v>65634.792000000001</v>
      </c>
    </row>
    <row r="281" spans="1:16" x14ac:dyDescent="0.3">
      <c r="A281" t="s">
        <v>513</v>
      </c>
      <c r="B281" t="s">
        <v>445</v>
      </c>
      <c r="C281" t="s">
        <v>25</v>
      </c>
      <c r="D281" t="s">
        <v>13</v>
      </c>
      <c r="E281" s="1">
        <v>45702</v>
      </c>
      <c r="F281">
        <v>40031.279999999999</v>
      </c>
      <c r="G281">
        <v>16.420000000000002</v>
      </c>
      <c r="H281">
        <v>240</v>
      </c>
      <c r="I281" t="s">
        <v>14</v>
      </c>
      <c r="J281">
        <v>28422</v>
      </c>
      <c r="K281">
        <f t="shared" ca="1" si="24"/>
        <v>30</v>
      </c>
      <c r="L281">
        <f t="shared" ca="1" si="25"/>
        <v>0</v>
      </c>
      <c r="M281" t="str">
        <f t="shared" ca="1" si="26"/>
        <v>Medium</v>
      </c>
      <c r="N281">
        <f t="shared" ca="1" si="27"/>
        <v>12</v>
      </c>
      <c r="O281">
        <f t="shared" ca="1" si="28"/>
        <v>0</v>
      </c>
      <c r="P281">
        <f t="shared" ca="1" si="29"/>
        <v>0</v>
      </c>
    </row>
    <row r="282" spans="1:16" x14ac:dyDescent="0.3">
      <c r="A282" t="s">
        <v>514</v>
      </c>
      <c r="B282" t="s">
        <v>515</v>
      </c>
      <c r="C282" t="s">
        <v>12</v>
      </c>
      <c r="D282" t="s">
        <v>26</v>
      </c>
      <c r="E282" s="1">
        <v>45739</v>
      </c>
      <c r="F282">
        <v>3181.79</v>
      </c>
      <c r="G282">
        <v>20.56</v>
      </c>
      <c r="H282">
        <v>24</v>
      </c>
      <c r="I282" t="s">
        <v>14</v>
      </c>
      <c r="J282">
        <v>1623</v>
      </c>
      <c r="K282">
        <f t="shared" ca="1" si="24"/>
        <v>120</v>
      </c>
      <c r="L282">
        <f t="shared" ca="1" si="25"/>
        <v>1</v>
      </c>
      <c r="M282" t="str">
        <f t="shared" ca="1" si="26"/>
        <v>High</v>
      </c>
      <c r="N282">
        <f t="shared" ca="1" si="27"/>
        <v>6</v>
      </c>
      <c r="O282">
        <f t="shared" ca="1" si="28"/>
        <v>6.24</v>
      </c>
      <c r="P282">
        <f t="shared" ca="1" si="29"/>
        <v>3531.7869000000001</v>
      </c>
    </row>
    <row r="283" spans="1:16" x14ac:dyDescent="0.3">
      <c r="A283" t="s">
        <v>516</v>
      </c>
      <c r="B283" t="s">
        <v>517</v>
      </c>
      <c r="C283" t="s">
        <v>70</v>
      </c>
      <c r="D283" t="s">
        <v>22</v>
      </c>
      <c r="E283" s="1">
        <v>46049</v>
      </c>
      <c r="F283">
        <v>18925.7</v>
      </c>
      <c r="G283">
        <v>13.41</v>
      </c>
      <c r="H283">
        <v>48</v>
      </c>
      <c r="I283" t="s">
        <v>14</v>
      </c>
      <c r="J283">
        <v>10598</v>
      </c>
      <c r="K283">
        <f t="shared" ca="1" si="24"/>
        <v>0</v>
      </c>
      <c r="L283">
        <f t="shared" ca="1" si="25"/>
        <v>0</v>
      </c>
      <c r="M283" t="str">
        <f t="shared" ca="1" si="26"/>
        <v>Low</v>
      </c>
      <c r="N283">
        <f t="shared" ca="1" si="27"/>
        <v>0.48</v>
      </c>
      <c r="O283">
        <f t="shared" ca="1" si="28"/>
        <v>0</v>
      </c>
      <c r="P283">
        <f t="shared" ca="1" si="29"/>
        <v>21953.812000000002</v>
      </c>
    </row>
    <row r="284" spans="1:16" x14ac:dyDescent="0.3">
      <c r="A284" t="s">
        <v>518</v>
      </c>
      <c r="B284" t="s">
        <v>166</v>
      </c>
      <c r="C284" t="s">
        <v>51</v>
      </c>
      <c r="D284" t="s">
        <v>30</v>
      </c>
      <c r="E284" s="1">
        <v>45988</v>
      </c>
      <c r="F284">
        <v>43809.65</v>
      </c>
      <c r="G284">
        <v>8.77</v>
      </c>
      <c r="H284">
        <v>84</v>
      </c>
      <c r="I284" t="s">
        <v>27</v>
      </c>
      <c r="J284">
        <v>0</v>
      </c>
      <c r="K284">
        <f t="shared" ca="1" si="24"/>
        <v>45</v>
      </c>
      <c r="L284">
        <f t="shared" ca="1" si="25"/>
        <v>0</v>
      </c>
      <c r="M284" t="str">
        <f t="shared" ca="1" si="26"/>
        <v>Medium</v>
      </c>
      <c r="N284">
        <f t="shared" ca="1" si="27"/>
        <v>4.2</v>
      </c>
      <c r="O284">
        <f t="shared" ca="1" si="28"/>
        <v>0</v>
      </c>
      <c r="P284">
        <f t="shared" ca="1" si="29"/>
        <v>0</v>
      </c>
    </row>
    <row r="285" spans="1:16" x14ac:dyDescent="0.3">
      <c r="A285" t="s">
        <v>519</v>
      </c>
      <c r="B285" t="s">
        <v>520</v>
      </c>
      <c r="C285" t="s">
        <v>36</v>
      </c>
      <c r="D285" t="s">
        <v>30</v>
      </c>
      <c r="E285" s="1">
        <v>46027</v>
      </c>
      <c r="F285">
        <v>9123.8700000000008</v>
      </c>
      <c r="G285">
        <v>17.579999999999998</v>
      </c>
      <c r="H285">
        <v>72</v>
      </c>
      <c r="I285" t="s">
        <v>14</v>
      </c>
      <c r="J285">
        <v>6843</v>
      </c>
      <c r="K285">
        <f t="shared" ca="1" si="24"/>
        <v>30</v>
      </c>
      <c r="L285">
        <f t="shared" ca="1" si="25"/>
        <v>0</v>
      </c>
      <c r="M285" t="str">
        <f t="shared" ca="1" si="26"/>
        <v>Medium</v>
      </c>
      <c r="N285">
        <f t="shared" ca="1" si="27"/>
        <v>3.6</v>
      </c>
      <c r="O285">
        <f t="shared" ca="1" si="28"/>
        <v>0</v>
      </c>
      <c r="P285">
        <f t="shared" ca="1" si="29"/>
        <v>0</v>
      </c>
    </row>
    <row r="286" spans="1:16" x14ac:dyDescent="0.3">
      <c r="A286" t="s">
        <v>521</v>
      </c>
      <c r="B286" t="s">
        <v>362</v>
      </c>
      <c r="C286" t="s">
        <v>70</v>
      </c>
      <c r="D286" t="s">
        <v>26</v>
      </c>
      <c r="E286" s="1">
        <v>45587</v>
      </c>
      <c r="F286">
        <v>17699.87</v>
      </c>
      <c r="G286">
        <v>18.760000000000002</v>
      </c>
      <c r="H286">
        <v>36</v>
      </c>
      <c r="I286" t="s">
        <v>27</v>
      </c>
      <c r="J286">
        <v>0</v>
      </c>
      <c r="K286">
        <f t="shared" ca="1" si="24"/>
        <v>60</v>
      </c>
      <c r="L286">
        <f t="shared" ca="1" si="25"/>
        <v>0</v>
      </c>
      <c r="M286" t="str">
        <f t="shared" ca="1" si="26"/>
        <v>Medium</v>
      </c>
      <c r="N286">
        <f t="shared" ca="1" si="27"/>
        <v>3.6</v>
      </c>
      <c r="O286">
        <f t="shared" ca="1" si="28"/>
        <v>0</v>
      </c>
      <c r="P286">
        <f t="shared" ca="1" si="29"/>
        <v>13274.9025</v>
      </c>
    </row>
    <row r="287" spans="1:16" x14ac:dyDescent="0.3">
      <c r="A287" t="s">
        <v>522</v>
      </c>
      <c r="B287" t="s">
        <v>523</v>
      </c>
      <c r="C287" t="s">
        <v>12</v>
      </c>
      <c r="D287" t="s">
        <v>22</v>
      </c>
      <c r="E287" s="1">
        <v>46029</v>
      </c>
      <c r="F287">
        <v>65923.56</v>
      </c>
      <c r="G287">
        <v>17.23</v>
      </c>
      <c r="H287">
        <v>60</v>
      </c>
      <c r="I287" t="s">
        <v>14</v>
      </c>
      <c r="J287">
        <v>47465</v>
      </c>
      <c r="K287">
        <f t="shared" ca="1" si="24"/>
        <v>60</v>
      </c>
      <c r="L287">
        <f t="shared" ca="1" si="25"/>
        <v>0</v>
      </c>
      <c r="M287" t="str">
        <f t="shared" ca="1" si="26"/>
        <v>Medium</v>
      </c>
      <c r="N287">
        <f t="shared" ca="1" si="27"/>
        <v>6</v>
      </c>
      <c r="O287">
        <f t="shared" ca="1" si="28"/>
        <v>0</v>
      </c>
      <c r="P287">
        <f t="shared" ca="1" si="29"/>
        <v>77130.565199999997</v>
      </c>
    </row>
    <row r="288" spans="1:16" x14ac:dyDescent="0.3">
      <c r="A288" t="s">
        <v>524</v>
      </c>
      <c r="B288" t="s">
        <v>114</v>
      </c>
      <c r="C288" t="s">
        <v>25</v>
      </c>
      <c r="D288" t="s">
        <v>13</v>
      </c>
      <c r="E288" s="1">
        <v>45539</v>
      </c>
      <c r="F288">
        <v>8183.76</v>
      </c>
      <c r="G288">
        <v>8.4600000000000009</v>
      </c>
      <c r="H288">
        <v>240</v>
      </c>
      <c r="I288" t="s">
        <v>27</v>
      </c>
      <c r="J288">
        <v>0</v>
      </c>
      <c r="K288">
        <f t="shared" ca="1" si="24"/>
        <v>0</v>
      </c>
      <c r="L288">
        <f t="shared" ca="1" si="25"/>
        <v>0</v>
      </c>
      <c r="M288" t="str">
        <f t="shared" ca="1" si="26"/>
        <v>Low</v>
      </c>
      <c r="N288">
        <f t="shared" ca="1" si="27"/>
        <v>2.4</v>
      </c>
      <c r="O288">
        <f t="shared" ca="1" si="28"/>
        <v>0</v>
      </c>
      <c r="P288">
        <f t="shared" ca="1" si="29"/>
        <v>0</v>
      </c>
    </row>
    <row r="289" spans="1:16" x14ac:dyDescent="0.3">
      <c r="A289" t="s">
        <v>525</v>
      </c>
      <c r="B289" t="s">
        <v>526</v>
      </c>
      <c r="C289" t="s">
        <v>17</v>
      </c>
      <c r="D289" t="s">
        <v>30</v>
      </c>
      <c r="E289" s="1">
        <v>45619</v>
      </c>
      <c r="F289">
        <v>16707.23</v>
      </c>
      <c r="G289">
        <v>9.09</v>
      </c>
      <c r="H289">
        <v>24</v>
      </c>
      <c r="I289" t="s">
        <v>14</v>
      </c>
      <c r="J289">
        <v>7017</v>
      </c>
      <c r="K289">
        <f t="shared" ca="1" si="24"/>
        <v>0</v>
      </c>
      <c r="L289">
        <f t="shared" ca="1" si="25"/>
        <v>0</v>
      </c>
      <c r="M289" t="str">
        <f t="shared" ca="1" si="26"/>
        <v>Low</v>
      </c>
      <c r="N289">
        <f t="shared" ca="1" si="27"/>
        <v>0.24</v>
      </c>
      <c r="O289">
        <f t="shared" ca="1" si="28"/>
        <v>0</v>
      </c>
      <c r="P289">
        <f t="shared" ca="1" si="29"/>
        <v>0</v>
      </c>
    </row>
    <row r="290" spans="1:16" x14ac:dyDescent="0.3">
      <c r="A290" t="s">
        <v>527</v>
      </c>
      <c r="B290" t="s">
        <v>387</v>
      </c>
      <c r="C290" t="s">
        <v>39</v>
      </c>
      <c r="D290" t="s">
        <v>75</v>
      </c>
      <c r="E290" s="1">
        <v>45920</v>
      </c>
      <c r="F290">
        <v>65750.59</v>
      </c>
      <c r="G290">
        <v>20.66</v>
      </c>
      <c r="H290">
        <v>120</v>
      </c>
      <c r="I290" t="s">
        <v>19</v>
      </c>
      <c r="J290">
        <v>0</v>
      </c>
      <c r="K290">
        <f t="shared" ca="1" si="24"/>
        <v>0</v>
      </c>
      <c r="L290">
        <f t="shared" ca="1" si="25"/>
        <v>0</v>
      </c>
      <c r="M290" t="str">
        <f t="shared" ca="1" si="26"/>
        <v>Low</v>
      </c>
      <c r="N290">
        <f t="shared" ca="1" si="27"/>
        <v>1.2</v>
      </c>
      <c r="O290">
        <f t="shared" ca="1" si="28"/>
        <v>0</v>
      </c>
      <c r="P290">
        <f t="shared" ca="1" si="29"/>
        <v>71010.637199999997</v>
      </c>
    </row>
    <row r="291" spans="1:16" x14ac:dyDescent="0.3">
      <c r="A291" t="s">
        <v>528</v>
      </c>
      <c r="B291" t="s">
        <v>529</v>
      </c>
      <c r="C291" t="s">
        <v>33</v>
      </c>
      <c r="D291" t="s">
        <v>18</v>
      </c>
      <c r="E291" s="1">
        <v>45977</v>
      </c>
      <c r="F291">
        <v>20724.95</v>
      </c>
      <c r="G291">
        <v>18.989999999999998</v>
      </c>
      <c r="H291">
        <v>72</v>
      </c>
      <c r="I291" t="s">
        <v>19</v>
      </c>
      <c r="J291">
        <v>0</v>
      </c>
      <c r="K291">
        <f t="shared" ca="1" si="24"/>
        <v>0</v>
      </c>
      <c r="L291">
        <f t="shared" ca="1" si="25"/>
        <v>0</v>
      </c>
      <c r="M291" t="str">
        <f t="shared" ca="1" si="26"/>
        <v>Low</v>
      </c>
      <c r="N291">
        <f t="shared" ca="1" si="27"/>
        <v>0.72</v>
      </c>
      <c r="O291">
        <f t="shared" ca="1" si="28"/>
        <v>0</v>
      </c>
      <c r="P291">
        <f t="shared" ca="1" si="29"/>
        <v>0</v>
      </c>
    </row>
    <row r="292" spans="1:16" x14ac:dyDescent="0.3">
      <c r="A292" t="s">
        <v>530</v>
      </c>
      <c r="B292" t="s">
        <v>531</v>
      </c>
      <c r="C292" t="s">
        <v>17</v>
      </c>
      <c r="D292" t="s">
        <v>26</v>
      </c>
      <c r="E292" s="1">
        <v>45346</v>
      </c>
      <c r="F292">
        <v>40282</v>
      </c>
      <c r="G292">
        <v>14.6</v>
      </c>
      <c r="H292">
        <v>84</v>
      </c>
      <c r="I292" t="s">
        <v>14</v>
      </c>
      <c r="J292">
        <v>20544</v>
      </c>
      <c r="K292">
        <f t="shared" ca="1" si="24"/>
        <v>120</v>
      </c>
      <c r="L292">
        <f t="shared" ca="1" si="25"/>
        <v>1</v>
      </c>
      <c r="M292" t="str">
        <f t="shared" ca="1" si="26"/>
        <v>High</v>
      </c>
      <c r="N292">
        <f t="shared" ca="1" si="27"/>
        <v>21</v>
      </c>
      <c r="O292">
        <f t="shared" ca="1" si="28"/>
        <v>15.96</v>
      </c>
      <c r="P292">
        <f t="shared" ca="1" si="29"/>
        <v>51963.78</v>
      </c>
    </row>
    <row r="293" spans="1:16" x14ac:dyDescent="0.3">
      <c r="A293" t="s">
        <v>532</v>
      </c>
      <c r="B293" t="s">
        <v>533</v>
      </c>
      <c r="C293" t="s">
        <v>39</v>
      </c>
      <c r="D293" t="s">
        <v>26</v>
      </c>
      <c r="E293" s="1">
        <v>45812</v>
      </c>
      <c r="F293">
        <v>51413.21</v>
      </c>
      <c r="G293">
        <v>16.54</v>
      </c>
      <c r="H293">
        <v>360</v>
      </c>
      <c r="I293" t="s">
        <v>14</v>
      </c>
      <c r="J293">
        <v>38560</v>
      </c>
      <c r="K293">
        <f t="shared" ca="1" si="24"/>
        <v>30</v>
      </c>
      <c r="L293">
        <f t="shared" ca="1" si="25"/>
        <v>0</v>
      </c>
      <c r="M293" t="str">
        <f t="shared" ca="1" si="26"/>
        <v>Medium</v>
      </c>
      <c r="N293">
        <f t="shared" ca="1" si="27"/>
        <v>18</v>
      </c>
      <c r="O293">
        <f t="shared" ca="1" si="28"/>
        <v>0</v>
      </c>
      <c r="P293">
        <f t="shared" ca="1" si="29"/>
        <v>48328.417400000006</v>
      </c>
    </row>
    <row r="294" spans="1:16" x14ac:dyDescent="0.3">
      <c r="A294" t="s">
        <v>534</v>
      </c>
      <c r="B294" t="s">
        <v>535</v>
      </c>
      <c r="C294" t="s">
        <v>33</v>
      </c>
      <c r="D294" t="s">
        <v>22</v>
      </c>
      <c r="E294" s="1">
        <v>46013</v>
      </c>
      <c r="F294">
        <v>78824.13</v>
      </c>
      <c r="G294">
        <v>17.03</v>
      </c>
      <c r="H294">
        <v>360</v>
      </c>
      <c r="I294" t="s">
        <v>14</v>
      </c>
      <c r="J294">
        <v>48083</v>
      </c>
      <c r="K294">
        <f t="shared" ca="1" si="24"/>
        <v>45</v>
      </c>
      <c r="L294">
        <f t="shared" ca="1" si="25"/>
        <v>0</v>
      </c>
      <c r="M294" t="str">
        <f t="shared" ca="1" si="26"/>
        <v>Medium</v>
      </c>
      <c r="N294">
        <f t="shared" ca="1" si="27"/>
        <v>18</v>
      </c>
      <c r="O294">
        <f t="shared" ca="1" si="28"/>
        <v>0</v>
      </c>
      <c r="P294">
        <f t="shared" ca="1" si="29"/>
        <v>70941.717000000004</v>
      </c>
    </row>
    <row r="295" spans="1:16" x14ac:dyDescent="0.3">
      <c r="A295" t="s">
        <v>536</v>
      </c>
      <c r="B295" t="s">
        <v>296</v>
      </c>
      <c r="C295" t="s">
        <v>33</v>
      </c>
      <c r="D295" t="s">
        <v>26</v>
      </c>
      <c r="E295" s="1">
        <v>46095</v>
      </c>
      <c r="F295">
        <v>82975.960000000006</v>
      </c>
      <c r="G295">
        <v>12.15</v>
      </c>
      <c r="H295">
        <v>24</v>
      </c>
      <c r="I295" t="s">
        <v>27</v>
      </c>
      <c r="J295">
        <v>0</v>
      </c>
      <c r="K295">
        <f t="shared" ca="1" si="24"/>
        <v>30</v>
      </c>
      <c r="L295">
        <f t="shared" ca="1" si="25"/>
        <v>0</v>
      </c>
      <c r="M295" t="str">
        <f t="shared" ca="1" si="26"/>
        <v>Medium</v>
      </c>
      <c r="N295">
        <f t="shared" ca="1" si="27"/>
        <v>1.2000000000000002</v>
      </c>
      <c r="O295">
        <f t="shared" ca="1" si="28"/>
        <v>0</v>
      </c>
      <c r="P295">
        <f t="shared" ca="1" si="29"/>
        <v>81316.440800000011</v>
      </c>
    </row>
    <row r="296" spans="1:16" x14ac:dyDescent="0.3">
      <c r="A296" t="s">
        <v>537</v>
      </c>
      <c r="B296" t="s">
        <v>63</v>
      </c>
      <c r="C296" t="s">
        <v>33</v>
      </c>
      <c r="D296" t="s">
        <v>22</v>
      </c>
      <c r="E296" s="1">
        <v>45796</v>
      </c>
      <c r="F296">
        <v>96431.69</v>
      </c>
      <c r="G296">
        <v>14.47</v>
      </c>
      <c r="H296">
        <v>36</v>
      </c>
      <c r="I296" t="s">
        <v>14</v>
      </c>
      <c r="J296">
        <v>81967</v>
      </c>
      <c r="K296">
        <f t="shared" ca="1" si="24"/>
        <v>120</v>
      </c>
      <c r="L296">
        <f t="shared" ca="1" si="25"/>
        <v>1</v>
      </c>
      <c r="M296" t="str">
        <f t="shared" ca="1" si="26"/>
        <v>High</v>
      </c>
      <c r="N296">
        <f t="shared" ca="1" si="27"/>
        <v>9</v>
      </c>
      <c r="O296">
        <f t="shared" ca="1" si="28"/>
        <v>3.24</v>
      </c>
      <c r="P296">
        <f t="shared" ca="1" si="29"/>
        <v>69430.816800000001</v>
      </c>
    </row>
    <row r="297" spans="1:16" x14ac:dyDescent="0.3">
      <c r="A297" t="s">
        <v>538</v>
      </c>
      <c r="B297" t="s">
        <v>63</v>
      </c>
      <c r="C297" t="s">
        <v>17</v>
      </c>
      <c r="D297" t="s">
        <v>13</v>
      </c>
      <c r="E297" s="1">
        <v>45697</v>
      </c>
      <c r="F297">
        <v>51882.94</v>
      </c>
      <c r="G297">
        <v>7.36</v>
      </c>
      <c r="H297">
        <v>84</v>
      </c>
      <c r="I297" t="s">
        <v>27</v>
      </c>
      <c r="J297">
        <v>0</v>
      </c>
      <c r="K297">
        <f t="shared" ca="1" si="24"/>
        <v>0</v>
      </c>
      <c r="L297">
        <f t="shared" ca="1" si="25"/>
        <v>0</v>
      </c>
      <c r="M297" t="str">
        <f t="shared" ca="1" si="26"/>
        <v>Low</v>
      </c>
      <c r="N297">
        <f t="shared" ca="1" si="27"/>
        <v>0.84</v>
      </c>
      <c r="O297">
        <f t="shared" ca="1" si="28"/>
        <v>0</v>
      </c>
      <c r="P297">
        <f t="shared" ca="1" si="29"/>
        <v>0</v>
      </c>
    </row>
    <row r="298" spans="1:16" x14ac:dyDescent="0.3">
      <c r="A298" t="s">
        <v>539</v>
      </c>
      <c r="B298" t="s">
        <v>540</v>
      </c>
      <c r="C298" t="s">
        <v>25</v>
      </c>
      <c r="D298" t="s">
        <v>30</v>
      </c>
      <c r="E298" s="1">
        <v>45348</v>
      </c>
      <c r="F298">
        <v>29024.43</v>
      </c>
      <c r="G298">
        <v>4.95</v>
      </c>
      <c r="H298">
        <v>60</v>
      </c>
      <c r="I298" t="s">
        <v>14</v>
      </c>
      <c r="J298">
        <v>26702</v>
      </c>
      <c r="K298">
        <f t="shared" ca="1" si="24"/>
        <v>120</v>
      </c>
      <c r="L298">
        <f t="shared" ca="1" si="25"/>
        <v>1</v>
      </c>
      <c r="M298" t="str">
        <f t="shared" ca="1" si="26"/>
        <v>High</v>
      </c>
      <c r="N298">
        <f t="shared" ca="1" si="27"/>
        <v>15</v>
      </c>
      <c r="O298">
        <f t="shared" ca="1" si="28"/>
        <v>11.4</v>
      </c>
      <c r="P298">
        <f t="shared" ca="1" si="29"/>
        <v>0</v>
      </c>
    </row>
    <row r="299" spans="1:16" x14ac:dyDescent="0.3">
      <c r="A299" t="s">
        <v>541</v>
      </c>
      <c r="B299" t="s">
        <v>529</v>
      </c>
      <c r="C299" t="s">
        <v>123</v>
      </c>
      <c r="D299" t="s">
        <v>22</v>
      </c>
      <c r="E299" s="1">
        <v>45900</v>
      </c>
      <c r="F299">
        <v>70937.64</v>
      </c>
      <c r="G299">
        <v>19.59</v>
      </c>
      <c r="H299">
        <v>60</v>
      </c>
      <c r="I299" t="s">
        <v>14</v>
      </c>
      <c r="J299">
        <v>51075</v>
      </c>
      <c r="K299">
        <f t="shared" ca="1" si="24"/>
        <v>60</v>
      </c>
      <c r="L299">
        <f t="shared" ca="1" si="25"/>
        <v>0</v>
      </c>
      <c r="M299" t="str">
        <f t="shared" ca="1" si="26"/>
        <v>Medium</v>
      </c>
      <c r="N299">
        <f t="shared" ca="1" si="27"/>
        <v>6</v>
      </c>
      <c r="O299">
        <f t="shared" ca="1" si="28"/>
        <v>0</v>
      </c>
      <c r="P299">
        <f t="shared" ca="1" si="29"/>
        <v>69518.887199999997</v>
      </c>
    </row>
    <row r="300" spans="1:16" x14ac:dyDescent="0.3">
      <c r="A300" t="s">
        <v>542</v>
      </c>
      <c r="B300" t="s">
        <v>86</v>
      </c>
      <c r="C300" t="s">
        <v>12</v>
      </c>
      <c r="D300" t="s">
        <v>22</v>
      </c>
      <c r="E300" s="1">
        <v>45489</v>
      </c>
      <c r="F300">
        <v>99550.79</v>
      </c>
      <c r="G300">
        <v>6.39</v>
      </c>
      <c r="H300">
        <v>180</v>
      </c>
      <c r="I300" t="s">
        <v>14</v>
      </c>
      <c r="J300">
        <v>83623</v>
      </c>
      <c r="K300">
        <f t="shared" ca="1" si="24"/>
        <v>15</v>
      </c>
      <c r="L300">
        <f t="shared" ca="1" si="25"/>
        <v>0</v>
      </c>
      <c r="M300" t="str">
        <f t="shared" ca="1" si="26"/>
        <v>Low</v>
      </c>
      <c r="N300">
        <f t="shared" ca="1" si="27"/>
        <v>1.8</v>
      </c>
      <c r="O300">
        <f t="shared" ca="1" si="28"/>
        <v>0</v>
      </c>
      <c r="P300">
        <f t="shared" ca="1" si="29"/>
        <v>92582.234699999986</v>
      </c>
    </row>
    <row r="301" spans="1:16" x14ac:dyDescent="0.3">
      <c r="A301" t="s">
        <v>543</v>
      </c>
      <c r="B301" t="s">
        <v>526</v>
      </c>
      <c r="C301" t="s">
        <v>123</v>
      </c>
      <c r="D301" t="s">
        <v>22</v>
      </c>
      <c r="E301" s="1">
        <v>46022</v>
      </c>
      <c r="F301">
        <v>59859.17</v>
      </c>
      <c r="G301">
        <v>6.67</v>
      </c>
      <c r="H301">
        <v>48</v>
      </c>
      <c r="I301" t="s">
        <v>27</v>
      </c>
      <c r="J301">
        <v>0</v>
      </c>
      <c r="K301">
        <f t="shared" ca="1" si="24"/>
        <v>45</v>
      </c>
      <c r="L301">
        <f t="shared" ca="1" si="25"/>
        <v>0</v>
      </c>
      <c r="M301" t="str">
        <f t="shared" ca="1" si="26"/>
        <v>Medium</v>
      </c>
      <c r="N301">
        <f t="shared" ca="1" si="27"/>
        <v>2.4000000000000004</v>
      </c>
      <c r="O301">
        <f t="shared" ca="1" si="28"/>
        <v>0</v>
      </c>
      <c r="P301">
        <f t="shared" ca="1" si="29"/>
        <v>48485.927699999993</v>
      </c>
    </row>
    <row r="302" spans="1:16" x14ac:dyDescent="0.3">
      <c r="A302" t="s">
        <v>544</v>
      </c>
      <c r="B302" t="s">
        <v>425</v>
      </c>
      <c r="C302" t="s">
        <v>25</v>
      </c>
      <c r="D302" t="s">
        <v>30</v>
      </c>
      <c r="E302" s="1">
        <v>45384</v>
      </c>
      <c r="F302">
        <v>47096.67</v>
      </c>
      <c r="G302">
        <v>5.48</v>
      </c>
      <c r="H302">
        <v>84</v>
      </c>
      <c r="I302" t="s">
        <v>14</v>
      </c>
      <c r="J302">
        <v>40503</v>
      </c>
      <c r="K302">
        <f t="shared" ca="1" si="24"/>
        <v>30</v>
      </c>
      <c r="L302">
        <f t="shared" ca="1" si="25"/>
        <v>0</v>
      </c>
      <c r="M302" t="str">
        <f t="shared" ca="1" si="26"/>
        <v>Medium</v>
      </c>
      <c r="N302">
        <f t="shared" ca="1" si="27"/>
        <v>4.2</v>
      </c>
      <c r="O302">
        <f t="shared" ca="1" si="28"/>
        <v>0</v>
      </c>
      <c r="P302">
        <f t="shared" ca="1" si="29"/>
        <v>0</v>
      </c>
    </row>
    <row r="303" spans="1:16" x14ac:dyDescent="0.3">
      <c r="A303" t="s">
        <v>545</v>
      </c>
      <c r="B303" t="s">
        <v>546</v>
      </c>
      <c r="C303" t="s">
        <v>51</v>
      </c>
      <c r="D303" t="s">
        <v>30</v>
      </c>
      <c r="E303" s="1">
        <v>45695</v>
      </c>
      <c r="F303">
        <v>17477.02</v>
      </c>
      <c r="G303">
        <v>15.29</v>
      </c>
      <c r="H303">
        <v>360</v>
      </c>
      <c r="I303" t="s">
        <v>14</v>
      </c>
      <c r="J303">
        <v>11011</v>
      </c>
      <c r="K303">
        <f t="shared" ca="1" si="24"/>
        <v>0</v>
      </c>
      <c r="L303">
        <f t="shared" ca="1" si="25"/>
        <v>0</v>
      </c>
      <c r="M303" t="str">
        <f t="shared" ca="1" si="26"/>
        <v>Low</v>
      </c>
      <c r="N303">
        <f t="shared" ca="1" si="27"/>
        <v>3.6</v>
      </c>
      <c r="O303">
        <f t="shared" ca="1" si="28"/>
        <v>0</v>
      </c>
      <c r="P303">
        <f t="shared" ca="1" si="29"/>
        <v>0</v>
      </c>
    </row>
    <row r="304" spans="1:16" x14ac:dyDescent="0.3">
      <c r="A304" t="s">
        <v>547</v>
      </c>
      <c r="B304" t="s">
        <v>103</v>
      </c>
      <c r="C304" t="s">
        <v>36</v>
      </c>
      <c r="D304" t="s">
        <v>26</v>
      </c>
      <c r="E304" s="1">
        <v>45612</v>
      </c>
      <c r="F304">
        <v>90229.43</v>
      </c>
      <c r="G304">
        <v>11.23</v>
      </c>
      <c r="H304">
        <v>72</v>
      </c>
      <c r="I304" t="s">
        <v>27</v>
      </c>
      <c r="J304">
        <v>0</v>
      </c>
      <c r="K304">
        <f t="shared" ca="1" si="24"/>
        <v>120</v>
      </c>
      <c r="L304">
        <f t="shared" ca="1" si="25"/>
        <v>1</v>
      </c>
      <c r="M304" t="str">
        <f t="shared" ca="1" si="26"/>
        <v>High</v>
      </c>
      <c r="N304">
        <f t="shared" ca="1" si="27"/>
        <v>18</v>
      </c>
      <c r="O304">
        <f t="shared" ca="1" si="28"/>
        <v>16.559999999999999</v>
      </c>
      <c r="P304">
        <f t="shared" ca="1" si="29"/>
        <v>92936.31289999999</v>
      </c>
    </row>
    <row r="305" spans="1:16" x14ac:dyDescent="0.3">
      <c r="A305" t="s">
        <v>548</v>
      </c>
      <c r="B305" t="s">
        <v>549</v>
      </c>
      <c r="C305" t="s">
        <v>12</v>
      </c>
      <c r="D305" t="s">
        <v>30</v>
      </c>
      <c r="E305" s="1">
        <v>45585</v>
      </c>
      <c r="F305">
        <v>21789.89</v>
      </c>
      <c r="G305">
        <v>15.49</v>
      </c>
      <c r="H305">
        <v>240</v>
      </c>
      <c r="I305" t="s">
        <v>27</v>
      </c>
      <c r="J305">
        <v>0</v>
      </c>
      <c r="K305">
        <f t="shared" ca="1" si="24"/>
        <v>60</v>
      </c>
      <c r="L305">
        <f t="shared" ca="1" si="25"/>
        <v>0</v>
      </c>
      <c r="M305" t="str">
        <f t="shared" ca="1" si="26"/>
        <v>Medium</v>
      </c>
      <c r="N305">
        <f t="shared" ca="1" si="27"/>
        <v>24</v>
      </c>
      <c r="O305">
        <f t="shared" ca="1" si="28"/>
        <v>0</v>
      </c>
      <c r="P305">
        <f t="shared" ca="1" si="29"/>
        <v>0</v>
      </c>
    </row>
    <row r="306" spans="1:16" x14ac:dyDescent="0.3">
      <c r="A306" t="s">
        <v>550</v>
      </c>
      <c r="B306" t="s">
        <v>551</v>
      </c>
      <c r="C306" t="s">
        <v>39</v>
      </c>
      <c r="D306" t="s">
        <v>18</v>
      </c>
      <c r="E306" s="1">
        <v>45724</v>
      </c>
      <c r="F306">
        <v>78788.160000000003</v>
      </c>
      <c r="G306">
        <v>12.86</v>
      </c>
      <c r="H306">
        <v>180</v>
      </c>
      <c r="I306" t="s">
        <v>14</v>
      </c>
      <c r="J306">
        <v>60667</v>
      </c>
      <c r="K306">
        <f t="shared" ca="1" si="24"/>
        <v>120</v>
      </c>
      <c r="L306">
        <f t="shared" ca="1" si="25"/>
        <v>1</v>
      </c>
      <c r="M306" t="str">
        <f t="shared" ca="1" si="26"/>
        <v>High</v>
      </c>
      <c r="N306">
        <f t="shared" ca="1" si="27"/>
        <v>45</v>
      </c>
      <c r="O306">
        <f t="shared" ca="1" si="28"/>
        <v>9</v>
      </c>
      <c r="P306">
        <f t="shared" ca="1" si="29"/>
        <v>0</v>
      </c>
    </row>
    <row r="307" spans="1:16" x14ac:dyDescent="0.3">
      <c r="A307" t="s">
        <v>552</v>
      </c>
      <c r="B307" t="s">
        <v>526</v>
      </c>
      <c r="C307" t="s">
        <v>17</v>
      </c>
      <c r="D307" t="s">
        <v>75</v>
      </c>
      <c r="E307" s="1">
        <v>45512</v>
      </c>
      <c r="F307">
        <v>11326.51</v>
      </c>
      <c r="G307">
        <v>9.48</v>
      </c>
      <c r="H307">
        <v>48</v>
      </c>
      <c r="I307" t="s">
        <v>19</v>
      </c>
      <c r="J307">
        <v>0</v>
      </c>
      <c r="K307">
        <f t="shared" ca="1" si="24"/>
        <v>0</v>
      </c>
      <c r="L307">
        <f t="shared" ca="1" si="25"/>
        <v>0</v>
      </c>
      <c r="M307" t="str">
        <f t="shared" ca="1" si="26"/>
        <v>Low</v>
      </c>
      <c r="N307">
        <f t="shared" ca="1" si="27"/>
        <v>0.48</v>
      </c>
      <c r="O307">
        <f t="shared" ca="1" si="28"/>
        <v>0</v>
      </c>
      <c r="P307">
        <f t="shared" ca="1" si="29"/>
        <v>11892.835500000001</v>
      </c>
    </row>
    <row r="308" spans="1:16" x14ac:dyDescent="0.3">
      <c r="A308" t="s">
        <v>553</v>
      </c>
      <c r="B308" t="s">
        <v>554</v>
      </c>
      <c r="C308" t="s">
        <v>70</v>
      </c>
      <c r="D308" t="s">
        <v>26</v>
      </c>
      <c r="E308" s="1">
        <v>45880</v>
      </c>
      <c r="F308">
        <v>5644.56</v>
      </c>
      <c r="G308">
        <v>18.55</v>
      </c>
      <c r="H308">
        <v>60</v>
      </c>
      <c r="I308" t="s">
        <v>14</v>
      </c>
      <c r="J308">
        <v>4008</v>
      </c>
      <c r="K308">
        <f t="shared" ca="1" si="24"/>
        <v>90</v>
      </c>
      <c r="L308">
        <f t="shared" ca="1" si="25"/>
        <v>1</v>
      </c>
      <c r="M308" t="str">
        <f t="shared" ca="1" si="26"/>
        <v>High</v>
      </c>
      <c r="N308">
        <f t="shared" ca="1" si="27"/>
        <v>15</v>
      </c>
      <c r="O308">
        <f t="shared" ca="1" si="28"/>
        <v>11.4</v>
      </c>
      <c r="P308">
        <f t="shared" ca="1" si="29"/>
        <v>6321.9072000000006</v>
      </c>
    </row>
    <row r="309" spans="1:16" x14ac:dyDescent="0.3">
      <c r="A309" t="s">
        <v>555</v>
      </c>
      <c r="B309" t="s">
        <v>556</v>
      </c>
      <c r="C309" t="s">
        <v>39</v>
      </c>
      <c r="D309" t="s">
        <v>75</v>
      </c>
      <c r="E309" s="1">
        <v>46091</v>
      </c>
      <c r="F309">
        <v>40353.67</v>
      </c>
      <c r="G309">
        <v>20.32</v>
      </c>
      <c r="H309">
        <v>24</v>
      </c>
      <c r="I309" t="s">
        <v>19</v>
      </c>
      <c r="J309">
        <v>0</v>
      </c>
      <c r="K309">
        <f t="shared" ca="1" si="24"/>
        <v>0</v>
      </c>
      <c r="L309">
        <f t="shared" ca="1" si="25"/>
        <v>0</v>
      </c>
      <c r="M309" t="str">
        <f t="shared" ca="1" si="26"/>
        <v>Low</v>
      </c>
      <c r="N309">
        <f t="shared" ca="1" si="27"/>
        <v>0.24</v>
      </c>
      <c r="O309">
        <f t="shared" ca="1" si="28"/>
        <v>0</v>
      </c>
      <c r="P309">
        <f t="shared" ca="1" si="29"/>
        <v>46003.183799999999</v>
      </c>
    </row>
    <row r="310" spans="1:16" x14ac:dyDescent="0.3">
      <c r="A310" t="s">
        <v>557</v>
      </c>
      <c r="B310" t="s">
        <v>551</v>
      </c>
      <c r="C310" t="s">
        <v>51</v>
      </c>
      <c r="D310" t="s">
        <v>22</v>
      </c>
      <c r="E310" s="1">
        <v>45904</v>
      </c>
      <c r="F310">
        <v>22917.07</v>
      </c>
      <c r="G310">
        <v>19.63</v>
      </c>
      <c r="H310">
        <v>60</v>
      </c>
      <c r="I310" t="s">
        <v>14</v>
      </c>
      <c r="J310">
        <v>13521</v>
      </c>
      <c r="K310">
        <f t="shared" ca="1" si="24"/>
        <v>120</v>
      </c>
      <c r="L310">
        <f t="shared" ca="1" si="25"/>
        <v>1</v>
      </c>
      <c r="M310" t="str">
        <f t="shared" ca="1" si="26"/>
        <v>High</v>
      </c>
      <c r="N310">
        <f t="shared" ca="1" si="27"/>
        <v>15</v>
      </c>
      <c r="O310">
        <f t="shared" ca="1" si="28"/>
        <v>3</v>
      </c>
      <c r="P310">
        <f t="shared" ca="1" si="29"/>
        <v>18562.826699999998</v>
      </c>
    </row>
    <row r="311" spans="1:16" x14ac:dyDescent="0.3">
      <c r="A311" t="s">
        <v>558</v>
      </c>
      <c r="B311" t="s">
        <v>559</v>
      </c>
      <c r="C311" t="s">
        <v>123</v>
      </c>
      <c r="D311" t="s">
        <v>18</v>
      </c>
      <c r="E311" s="1">
        <v>45313</v>
      </c>
      <c r="F311">
        <v>18385.810000000001</v>
      </c>
      <c r="G311">
        <v>21.67</v>
      </c>
      <c r="H311">
        <v>72</v>
      </c>
      <c r="I311" t="s">
        <v>14</v>
      </c>
      <c r="J311">
        <v>11215</v>
      </c>
      <c r="K311">
        <f t="shared" ca="1" si="24"/>
        <v>90</v>
      </c>
      <c r="L311">
        <f t="shared" ca="1" si="25"/>
        <v>1</v>
      </c>
      <c r="M311" t="str">
        <f t="shared" ca="1" si="26"/>
        <v>High</v>
      </c>
      <c r="N311">
        <f t="shared" ca="1" si="27"/>
        <v>18</v>
      </c>
      <c r="O311">
        <f t="shared" ca="1" si="28"/>
        <v>12.96</v>
      </c>
      <c r="P311">
        <f t="shared" ca="1" si="29"/>
        <v>0</v>
      </c>
    </row>
    <row r="312" spans="1:16" x14ac:dyDescent="0.3">
      <c r="A312" t="s">
        <v>560</v>
      </c>
      <c r="B312" t="s">
        <v>561</v>
      </c>
      <c r="C312" t="s">
        <v>25</v>
      </c>
      <c r="D312" t="s">
        <v>30</v>
      </c>
      <c r="E312" s="1">
        <v>45371</v>
      </c>
      <c r="F312">
        <v>29162.03</v>
      </c>
      <c r="G312">
        <v>4.8</v>
      </c>
      <c r="H312">
        <v>60</v>
      </c>
      <c r="I312" t="s">
        <v>27</v>
      </c>
      <c r="J312">
        <v>0</v>
      </c>
      <c r="K312">
        <f t="shared" ca="1" si="24"/>
        <v>0</v>
      </c>
      <c r="L312">
        <f t="shared" ca="1" si="25"/>
        <v>0</v>
      </c>
      <c r="M312" t="str">
        <f t="shared" ca="1" si="26"/>
        <v>Low</v>
      </c>
      <c r="N312">
        <f t="shared" ca="1" si="27"/>
        <v>0.6</v>
      </c>
      <c r="O312">
        <f t="shared" ca="1" si="28"/>
        <v>0</v>
      </c>
      <c r="P312">
        <f t="shared" ca="1" si="29"/>
        <v>0</v>
      </c>
    </row>
    <row r="313" spans="1:16" x14ac:dyDescent="0.3">
      <c r="A313" t="s">
        <v>562</v>
      </c>
      <c r="B313" t="s">
        <v>563</v>
      </c>
      <c r="C313" t="s">
        <v>33</v>
      </c>
      <c r="D313" t="s">
        <v>30</v>
      </c>
      <c r="E313" s="1">
        <v>45560</v>
      </c>
      <c r="F313">
        <v>92040.52</v>
      </c>
      <c r="G313">
        <v>17.53</v>
      </c>
      <c r="H313">
        <v>84</v>
      </c>
      <c r="I313" t="s">
        <v>27</v>
      </c>
      <c r="J313">
        <v>0</v>
      </c>
      <c r="K313">
        <f t="shared" ca="1" si="24"/>
        <v>0</v>
      </c>
      <c r="L313">
        <f t="shared" ca="1" si="25"/>
        <v>0</v>
      </c>
      <c r="M313" t="str">
        <f t="shared" ca="1" si="26"/>
        <v>Low</v>
      </c>
      <c r="N313">
        <f t="shared" ca="1" si="27"/>
        <v>0.84</v>
      </c>
      <c r="O313">
        <f t="shared" ca="1" si="28"/>
        <v>0</v>
      </c>
      <c r="P313">
        <f t="shared" ca="1" si="29"/>
        <v>0</v>
      </c>
    </row>
    <row r="314" spans="1:16" x14ac:dyDescent="0.3">
      <c r="A314" t="s">
        <v>564</v>
      </c>
      <c r="B314" t="s">
        <v>379</v>
      </c>
      <c r="C314" t="s">
        <v>33</v>
      </c>
      <c r="D314" t="s">
        <v>18</v>
      </c>
      <c r="E314" s="1">
        <v>45964</v>
      </c>
      <c r="F314">
        <v>72560.31</v>
      </c>
      <c r="G314">
        <v>4.97</v>
      </c>
      <c r="H314">
        <v>120</v>
      </c>
      <c r="I314" t="s">
        <v>27</v>
      </c>
      <c r="J314">
        <v>0</v>
      </c>
      <c r="K314">
        <f t="shared" ca="1" si="24"/>
        <v>45</v>
      </c>
      <c r="L314">
        <f t="shared" ca="1" si="25"/>
        <v>0</v>
      </c>
      <c r="M314" t="str">
        <f t="shared" ca="1" si="26"/>
        <v>Medium</v>
      </c>
      <c r="N314">
        <f t="shared" ca="1" si="27"/>
        <v>6</v>
      </c>
      <c r="O314">
        <f t="shared" ca="1" si="28"/>
        <v>0</v>
      </c>
      <c r="P314">
        <f t="shared" ca="1" si="29"/>
        <v>0</v>
      </c>
    </row>
    <row r="315" spans="1:16" x14ac:dyDescent="0.3">
      <c r="A315" t="s">
        <v>565</v>
      </c>
      <c r="B315" t="s">
        <v>566</v>
      </c>
      <c r="C315" t="s">
        <v>123</v>
      </c>
      <c r="D315" t="s">
        <v>13</v>
      </c>
      <c r="E315" s="1">
        <v>45536</v>
      </c>
      <c r="F315">
        <v>5676.61</v>
      </c>
      <c r="G315">
        <v>7.89</v>
      </c>
      <c r="H315">
        <v>72</v>
      </c>
      <c r="I315" t="s">
        <v>14</v>
      </c>
      <c r="J315">
        <v>4144</v>
      </c>
      <c r="K315">
        <f t="shared" ca="1" si="24"/>
        <v>0</v>
      </c>
      <c r="L315">
        <f t="shared" ca="1" si="25"/>
        <v>0</v>
      </c>
      <c r="M315" t="str">
        <f t="shared" ca="1" si="26"/>
        <v>Low</v>
      </c>
      <c r="N315">
        <f t="shared" ca="1" si="27"/>
        <v>0.72</v>
      </c>
      <c r="O315">
        <f t="shared" ca="1" si="28"/>
        <v>0</v>
      </c>
      <c r="P315">
        <f t="shared" ca="1" si="29"/>
        <v>0</v>
      </c>
    </row>
    <row r="316" spans="1:16" x14ac:dyDescent="0.3">
      <c r="A316" t="s">
        <v>567</v>
      </c>
      <c r="B316" t="s">
        <v>308</v>
      </c>
      <c r="C316" t="s">
        <v>54</v>
      </c>
      <c r="D316" t="s">
        <v>22</v>
      </c>
      <c r="E316" s="1">
        <v>45591</v>
      </c>
      <c r="F316">
        <v>67159.83</v>
      </c>
      <c r="G316">
        <v>13.05</v>
      </c>
      <c r="H316">
        <v>120</v>
      </c>
      <c r="I316" t="s">
        <v>14</v>
      </c>
      <c r="J316">
        <v>63130</v>
      </c>
      <c r="K316">
        <f t="shared" ca="1" si="24"/>
        <v>0</v>
      </c>
      <c r="L316">
        <f t="shared" ca="1" si="25"/>
        <v>0</v>
      </c>
      <c r="M316" t="str">
        <f t="shared" ca="1" si="26"/>
        <v>Low</v>
      </c>
      <c r="N316">
        <f t="shared" ca="1" si="27"/>
        <v>1.2</v>
      </c>
      <c r="O316">
        <f t="shared" ca="1" si="28"/>
        <v>0</v>
      </c>
      <c r="P316">
        <f t="shared" ca="1" si="29"/>
        <v>87307.77900000001</v>
      </c>
    </row>
    <row r="317" spans="1:16" x14ac:dyDescent="0.3">
      <c r="A317" t="s">
        <v>568</v>
      </c>
      <c r="B317" t="s">
        <v>569</v>
      </c>
      <c r="C317" t="s">
        <v>36</v>
      </c>
      <c r="D317" t="s">
        <v>13</v>
      </c>
      <c r="E317" s="1">
        <v>45728</v>
      </c>
      <c r="F317">
        <v>21435.99</v>
      </c>
      <c r="G317">
        <v>16.579999999999998</v>
      </c>
      <c r="H317">
        <v>240</v>
      </c>
      <c r="I317" t="s">
        <v>19</v>
      </c>
      <c r="J317">
        <v>0</v>
      </c>
      <c r="K317">
        <f t="shared" ca="1" si="24"/>
        <v>0</v>
      </c>
      <c r="L317">
        <f t="shared" ca="1" si="25"/>
        <v>0</v>
      </c>
      <c r="M317" t="str">
        <f t="shared" ca="1" si="26"/>
        <v>Low</v>
      </c>
      <c r="N317">
        <f t="shared" ca="1" si="27"/>
        <v>2.4</v>
      </c>
      <c r="O317">
        <f t="shared" ca="1" si="28"/>
        <v>0</v>
      </c>
      <c r="P317">
        <f t="shared" ca="1" si="29"/>
        <v>0</v>
      </c>
    </row>
    <row r="318" spans="1:16" x14ac:dyDescent="0.3">
      <c r="A318" t="s">
        <v>570</v>
      </c>
      <c r="B318" t="s">
        <v>322</v>
      </c>
      <c r="C318" t="s">
        <v>39</v>
      </c>
      <c r="D318" t="s">
        <v>22</v>
      </c>
      <c r="E318" s="1">
        <v>45960</v>
      </c>
      <c r="F318">
        <v>76141.94</v>
      </c>
      <c r="G318">
        <v>19.86</v>
      </c>
      <c r="H318">
        <v>72</v>
      </c>
      <c r="I318" t="s">
        <v>14</v>
      </c>
      <c r="J318">
        <v>54822</v>
      </c>
      <c r="K318">
        <f t="shared" ca="1" si="24"/>
        <v>90</v>
      </c>
      <c r="L318">
        <f t="shared" ca="1" si="25"/>
        <v>1</v>
      </c>
      <c r="M318" t="str">
        <f t="shared" ca="1" si="26"/>
        <v>High</v>
      </c>
      <c r="N318">
        <f t="shared" ca="1" si="27"/>
        <v>18</v>
      </c>
      <c r="O318">
        <f t="shared" ca="1" si="28"/>
        <v>10.8</v>
      </c>
      <c r="P318">
        <f t="shared" ca="1" si="29"/>
        <v>95177.425000000003</v>
      </c>
    </row>
    <row r="319" spans="1:16" x14ac:dyDescent="0.3">
      <c r="A319" t="s">
        <v>571</v>
      </c>
      <c r="B319" t="s">
        <v>572</v>
      </c>
      <c r="C319" t="s">
        <v>36</v>
      </c>
      <c r="D319" t="s">
        <v>13</v>
      </c>
      <c r="E319" s="1">
        <v>45813</v>
      </c>
      <c r="F319">
        <v>60641.8</v>
      </c>
      <c r="G319">
        <v>8.52</v>
      </c>
      <c r="H319">
        <v>180</v>
      </c>
      <c r="I319" t="s">
        <v>14</v>
      </c>
      <c r="J319">
        <v>56397</v>
      </c>
      <c r="K319">
        <f t="shared" ca="1" si="24"/>
        <v>45</v>
      </c>
      <c r="L319">
        <f t="shared" ca="1" si="25"/>
        <v>0</v>
      </c>
      <c r="M319" t="str">
        <f t="shared" ca="1" si="26"/>
        <v>Medium</v>
      </c>
      <c r="N319">
        <f t="shared" ca="1" si="27"/>
        <v>9</v>
      </c>
      <c r="O319">
        <f t="shared" ca="1" si="28"/>
        <v>0</v>
      </c>
      <c r="P319">
        <f t="shared" ca="1" si="29"/>
        <v>0</v>
      </c>
    </row>
    <row r="320" spans="1:16" x14ac:dyDescent="0.3">
      <c r="A320" t="s">
        <v>573</v>
      </c>
      <c r="B320" t="s">
        <v>574</v>
      </c>
      <c r="C320" t="s">
        <v>12</v>
      </c>
      <c r="D320" t="s">
        <v>22</v>
      </c>
      <c r="E320" s="1">
        <v>45762</v>
      </c>
      <c r="F320">
        <v>41681.199999999997</v>
      </c>
      <c r="G320">
        <v>16.59</v>
      </c>
      <c r="H320">
        <v>72</v>
      </c>
      <c r="I320" t="s">
        <v>19</v>
      </c>
      <c r="J320">
        <v>0</v>
      </c>
      <c r="K320">
        <f t="shared" ca="1" si="24"/>
        <v>0</v>
      </c>
      <c r="L320">
        <f t="shared" ca="1" si="25"/>
        <v>0</v>
      </c>
      <c r="M320" t="str">
        <f t="shared" ca="1" si="26"/>
        <v>Low</v>
      </c>
      <c r="N320">
        <f t="shared" ca="1" si="27"/>
        <v>0.72</v>
      </c>
      <c r="O320">
        <f t="shared" ca="1" si="28"/>
        <v>0</v>
      </c>
      <c r="P320">
        <f t="shared" ca="1" si="29"/>
        <v>43348.447999999997</v>
      </c>
    </row>
    <row r="321" spans="1:16" x14ac:dyDescent="0.3">
      <c r="A321" t="s">
        <v>575</v>
      </c>
      <c r="B321" t="s">
        <v>576</v>
      </c>
      <c r="C321" t="s">
        <v>25</v>
      </c>
      <c r="D321" t="s">
        <v>13</v>
      </c>
      <c r="E321" s="1">
        <v>46155</v>
      </c>
      <c r="F321">
        <v>76694.03</v>
      </c>
      <c r="G321">
        <v>11.09</v>
      </c>
      <c r="H321">
        <v>36</v>
      </c>
      <c r="I321" t="s">
        <v>14</v>
      </c>
      <c r="J321">
        <v>33745</v>
      </c>
      <c r="K321">
        <f t="shared" ca="1" si="24"/>
        <v>0</v>
      </c>
      <c r="L321">
        <f t="shared" ca="1" si="25"/>
        <v>0</v>
      </c>
      <c r="M321" t="str">
        <f t="shared" ca="1" si="26"/>
        <v>Low</v>
      </c>
      <c r="N321">
        <f t="shared" ca="1" si="27"/>
        <v>0.36</v>
      </c>
      <c r="O321">
        <f t="shared" ca="1" si="28"/>
        <v>0</v>
      </c>
      <c r="P321">
        <f t="shared" ca="1" si="29"/>
        <v>0</v>
      </c>
    </row>
    <row r="322" spans="1:16" x14ac:dyDescent="0.3">
      <c r="A322" t="s">
        <v>577</v>
      </c>
      <c r="B322" t="s">
        <v>578</v>
      </c>
      <c r="C322" t="s">
        <v>33</v>
      </c>
      <c r="D322" t="s">
        <v>26</v>
      </c>
      <c r="E322" s="1">
        <v>45485</v>
      </c>
      <c r="F322">
        <v>54102.16</v>
      </c>
      <c r="G322">
        <v>11.2</v>
      </c>
      <c r="H322">
        <v>36</v>
      </c>
      <c r="I322" t="s">
        <v>14</v>
      </c>
      <c r="J322">
        <v>49233</v>
      </c>
      <c r="K322">
        <f t="shared" ca="1" si="24"/>
        <v>60</v>
      </c>
      <c r="L322">
        <f t="shared" ca="1" si="25"/>
        <v>0</v>
      </c>
      <c r="M322" t="str">
        <f t="shared" ca="1" si="26"/>
        <v>Medium</v>
      </c>
      <c r="N322">
        <f t="shared" ca="1" si="27"/>
        <v>3.6</v>
      </c>
      <c r="O322">
        <f t="shared" ca="1" si="28"/>
        <v>0</v>
      </c>
      <c r="P322">
        <f t="shared" ca="1" si="29"/>
        <v>51397.052000000003</v>
      </c>
    </row>
    <row r="323" spans="1:16" x14ac:dyDescent="0.3">
      <c r="A323" t="s">
        <v>579</v>
      </c>
      <c r="B323" t="s">
        <v>236</v>
      </c>
      <c r="C323" t="s">
        <v>17</v>
      </c>
      <c r="D323" t="s">
        <v>22</v>
      </c>
      <c r="E323" s="1">
        <v>45507</v>
      </c>
      <c r="F323">
        <v>76537.22</v>
      </c>
      <c r="G323">
        <v>13.68</v>
      </c>
      <c r="H323">
        <v>360</v>
      </c>
      <c r="I323" t="s">
        <v>14</v>
      </c>
      <c r="J323">
        <v>67353</v>
      </c>
      <c r="K323">
        <f t="shared" ref="K323:K386" ca="1" si="30">IF(I323="Paid Off",0,CHOOSE(RANDBETWEEN(1,10),0,0,0,0,15,30,45,60,90,120))</f>
        <v>0</v>
      </c>
      <c r="L323">
        <f t="shared" ref="L323:L386" ca="1" si="31">IF(K323&gt;=90,1,0)</f>
        <v>0</v>
      </c>
      <c r="M323" t="str">
        <f t="shared" ref="M323:M386" ca="1" si="32">IF(K323&gt;=90,"High",IF(K323&gt;=30,"Medium","Low"))</f>
        <v>Low</v>
      </c>
      <c r="N323">
        <f t="shared" ref="N323:N386" ca="1" si="33">IF(L323=1,H323*0.25,IF(K323&gt;=60,H323*0.1,IF(K323&gt;=30,H323*0.05,H323*0.01)))</f>
        <v>3.6</v>
      </c>
      <c r="O323">
        <f t="shared" ref="O323:O386" ca="1" si="34">IF(L323=1,H323*RANDBETWEEN(5,30)/100,0)</f>
        <v>0</v>
      </c>
      <c r="P323">
        <f t="shared" ref="P323:P386" ca="1" si="35">IF(OR(D323="P02",D323="P03",D323="P05"),F323*RANDBETWEEN(70,130)/100,0)</f>
        <v>84190.941999999995</v>
      </c>
    </row>
    <row r="324" spans="1:16" x14ac:dyDescent="0.3">
      <c r="A324" t="s">
        <v>580</v>
      </c>
      <c r="B324" t="s">
        <v>581</v>
      </c>
      <c r="C324" t="s">
        <v>25</v>
      </c>
      <c r="D324" t="s">
        <v>75</v>
      </c>
      <c r="E324" s="1">
        <v>45396</v>
      </c>
      <c r="F324">
        <v>69339.55</v>
      </c>
      <c r="G324">
        <v>18.96</v>
      </c>
      <c r="H324">
        <v>72</v>
      </c>
      <c r="I324" t="s">
        <v>14</v>
      </c>
      <c r="J324">
        <v>56858</v>
      </c>
      <c r="K324">
        <f t="shared" ca="1" si="30"/>
        <v>15</v>
      </c>
      <c r="L324">
        <f t="shared" ca="1" si="31"/>
        <v>0</v>
      </c>
      <c r="M324" t="str">
        <f t="shared" ca="1" si="32"/>
        <v>Low</v>
      </c>
      <c r="N324">
        <f t="shared" ca="1" si="33"/>
        <v>0.72</v>
      </c>
      <c r="O324">
        <f t="shared" ca="1" si="34"/>
        <v>0</v>
      </c>
      <c r="P324">
        <f t="shared" ca="1" si="35"/>
        <v>83207.460000000006</v>
      </c>
    </row>
    <row r="325" spans="1:16" x14ac:dyDescent="0.3">
      <c r="A325" t="s">
        <v>582</v>
      </c>
      <c r="B325" t="s">
        <v>504</v>
      </c>
      <c r="C325" t="s">
        <v>51</v>
      </c>
      <c r="D325" t="s">
        <v>30</v>
      </c>
      <c r="E325" s="1">
        <v>45623</v>
      </c>
      <c r="F325">
        <v>26189.67</v>
      </c>
      <c r="G325">
        <v>5.95</v>
      </c>
      <c r="H325">
        <v>84</v>
      </c>
      <c r="I325" t="s">
        <v>27</v>
      </c>
      <c r="J325">
        <v>0</v>
      </c>
      <c r="K325">
        <f t="shared" ca="1" si="30"/>
        <v>120</v>
      </c>
      <c r="L325">
        <f t="shared" ca="1" si="31"/>
        <v>1</v>
      </c>
      <c r="M325" t="str">
        <f t="shared" ca="1" si="32"/>
        <v>High</v>
      </c>
      <c r="N325">
        <f t="shared" ca="1" si="33"/>
        <v>21</v>
      </c>
      <c r="O325">
        <f t="shared" ca="1" si="34"/>
        <v>11.76</v>
      </c>
      <c r="P325">
        <f t="shared" ca="1" si="35"/>
        <v>0</v>
      </c>
    </row>
    <row r="326" spans="1:16" x14ac:dyDescent="0.3">
      <c r="A326" t="s">
        <v>583</v>
      </c>
      <c r="B326" t="s">
        <v>584</v>
      </c>
      <c r="C326" t="s">
        <v>25</v>
      </c>
      <c r="D326" t="s">
        <v>13</v>
      </c>
      <c r="E326" s="1">
        <v>45337</v>
      </c>
      <c r="F326">
        <v>39425.269999999997</v>
      </c>
      <c r="G326">
        <v>12.08</v>
      </c>
      <c r="H326">
        <v>36</v>
      </c>
      <c r="I326" t="s">
        <v>14</v>
      </c>
      <c r="J326">
        <v>25626</v>
      </c>
      <c r="K326">
        <f t="shared" ca="1" si="30"/>
        <v>15</v>
      </c>
      <c r="L326">
        <f t="shared" ca="1" si="31"/>
        <v>0</v>
      </c>
      <c r="M326" t="str">
        <f t="shared" ca="1" si="32"/>
        <v>Low</v>
      </c>
      <c r="N326">
        <f t="shared" ca="1" si="33"/>
        <v>0.36</v>
      </c>
      <c r="O326">
        <f t="shared" ca="1" si="34"/>
        <v>0</v>
      </c>
      <c r="P326">
        <f t="shared" ca="1" si="35"/>
        <v>0</v>
      </c>
    </row>
    <row r="327" spans="1:16" x14ac:dyDescent="0.3">
      <c r="A327" t="s">
        <v>585</v>
      </c>
      <c r="B327" t="s">
        <v>586</v>
      </c>
      <c r="C327" t="s">
        <v>123</v>
      </c>
      <c r="D327" t="s">
        <v>30</v>
      </c>
      <c r="E327" s="1">
        <v>45320</v>
      </c>
      <c r="F327">
        <v>2552.09</v>
      </c>
      <c r="G327">
        <v>20.66</v>
      </c>
      <c r="H327">
        <v>240</v>
      </c>
      <c r="I327" t="s">
        <v>14</v>
      </c>
      <c r="J327">
        <v>1531</v>
      </c>
      <c r="K327">
        <f t="shared" ca="1" si="30"/>
        <v>0</v>
      </c>
      <c r="L327">
        <f t="shared" ca="1" si="31"/>
        <v>0</v>
      </c>
      <c r="M327" t="str">
        <f t="shared" ca="1" si="32"/>
        <v>Low</v>
      </c>
      <c r="N327">
        <f t="shared" ca="1" si="33"/>
        <v>2.4</v>
      </c>
      <c r="O327">
        <f t="shared" ca="1" si="34"/>
        <v>0</v>
      </c>
      <c r="P327">
        <f t="shared" ca="1" si="35"/>
        <v>0</v>
      </c>
    </row>
    <row r="328" spans="1:16" x14ac:dyDescent="0.3">
      <c r="A328" t="s">
        <v>587</v>
      </c>
      <c r="B328" t="s">
        <v>78</v>
      </c>
      <c r="C328" t="s">
        <v>12</v>
      </c>
      <c r="D328" t="s">
        <v>75</v>
      </c>
      <c r="E328" s="1">
        <v>45462</v>
      </c>
      <c r="F328">
        <v>16727.919999999998</v>
      </c>
      <c r="G328">
        <v>5.54</v>
      </c>
      <c r="H328">
        <v>48</v>
      </c>
      <c r="I328" t="s">
        <v>14</v>
      </c>
      <c r="J328">
        <v>7862</v>
      </c>
      <c r="K328">
        <f t="shared" ca="1" si="30"/>
        <v>15</v>
      </c>
      <c r="L328">
        <f t="shared" ca="1" si="31"/>
        <v>0</v>
      </c>
      <c r="M328" t="str">
        <f t="shared" ca="1" si="32"/>
        <v>Low</v>
      </c>
      <c r="N328">
        <f t="shared" ca="1" si="33"/>
        <v>0.48</v>
      </c>
      <c r="O328">
        <f t="shared" ca="1" si="34"/>
        <v>0</v>
      </c>
      <c r="P328">
        <f t="shared" ca="1" si="35"/>
        <v>15055.127999999999</v>
      </c>
    </row>
    <row r="329" spans="1:16" x14ac:dyDescent="0.3">
      <c r="A329" t="s">
        <v>588</v>
      </c>
      <c r="B329" t="s">
        <v>21</v>
      </c>
      <c r="C329" t="s">
        <v>54</v>
      </c>
      <c r="D329" t="s">
        <v>26</v>
      </c>
      <c r="E329" s="1">
        <v>45727</v>
      </c>
      <c r="F329">
        <v>11287.5</v>
      </c>
      <c r="G329">
        <v>11.41</v>
      </c>
      <c r="H329">
        <v>48</v>
      </c>
      <c r="I329" t="s">
        <v>14</v>
      </c>
      <c r="J329">
        <v>5531</v>
      </c>
      <c r="K329">
        <f t="shared" ca="1" si="30"/>
        <v>60</v>
      </c>
      <c r="L329">
        <f t="shared" ca="1" si="31"/>
        <v>0</v>
      </c>
      <c r="M329" t="str">
        <f t="shared" ca="1" si="32"/>
        <v>Medium</v>
      </c>
      <c r="N329">
        <f t="shared" ca="1" si="33"/>
        <v>4.8000000000000007</v>
      </c>
      <c r="O329">
        <f t="shared" ca="1" si="34"/>
        <v>0</v>
      </c>
      <c r="P329">
        <f t="shared" ca="1" si="35"/>
        <v>9142.875</v>
      </c>
    </row>
    <row r="330" spans="1:16" x14ac:dyDescent="0.3">
      <c r="A330" t="s">
        <v>589</v>
      </c>
      <c r="B330" t="s">
        <v>246</v>
      </c>
      <c r="C330" t="s">
        <v>36</v>
      </c>
      <c r="D330" t="s">
        <v>13</v>
      </c>
      <c r="E330" s="1">
        <v>45823</v>
      </c>
      <c r="F330">
        <v>12265.18</v>
      </c>
      <c r="G330">
        <v>6.58</v>
      </c>
      <c r="H330">
        <v>120</v>
      </c>
      <c r="I330" t="s">
        <v>14</v>
      </c>
      <c r="J330">
        <v>8463</v>
      </c>
      <c r="K330">
        <f t="shared" ca="1" si="30"/>
        <v>120</v>
      </c>
      <c r="L330">
        <f t="shared" ca="1" si="31"/>
        <v>1</v>
      </c>
      <c r="M330" t="str">
        <f t="shared" ca="1" si="32"/>
        <v>High</v>
      </c>
      <c r="N330">
        <f t="shared" ca="1" si="33"/>
        <v>30</v>
      </c>
      <c r="O330">
        <f t="shared" ca="1" si="34"/>
        <v>31.2</v>
      </c>
      <c r="P330">
        <f t="shared" ca="1" si="35"/>
        <v>0</v>
      </c>
    </row>
    <row r="331" spans="1:16" x14ac:dyDescent="0.3">
      <c r="A331" t="s">
        <v>590</v>
      </c>
      <c r="B331" t="s">
        <v>591</v>
      </c>
      <c r="C331" t="s">
        <v>51</v>
      </c>
      <c r="D331" t="s">
        <v>22</v>
      </c>
      <c r="E331" s="1">
        <v>46043</v>
      </c>
      <c r="F331">
        <v>81619.12</v>
      </c>
      <c r="G331">
        <v>6.96</v>
      </c>
      <c r="H331">
        <v>120</v>
      </c>
      <c r="I331" t="s">
        <v>27</v>
      </c>
      <c r="J331">
        <v>0</v>
      </c>
      <c r="K331">
        <f t="shared" ca="1" si="30"/>
        <v>45</v>
      </c>
      <c r="L331">
        <f t="shared" ca="1" si="31"/>
        <v>0</v>
      </c>
      <c r="M331" t="str">
        <f t="shared" ca="1" si="32"/>
        <v>Medium</v>
      </c>
      <c r="N331">
        <f t="shared" ca="1" si="33"/>
        <v>6</v>
      </c>
      <c r="O331">
        <f t="shared" ca="1" si="34"/>
        <v>0</v>
      </c>
      <c r="P331">
        <f t="shared" ca="1" si="35"/>
        <v>92229.605599999981</v>
      </c>
    </row>
    <row r="332" spans="1:16" x14ac:dyDescent="0.3">
      <c r="A332" t="s">
        <v>592</v>
      </c>
      <c r="B332" t="s">
        <v>214</v>
      </c>
      <c r="C332" t="s">
        <v>36</v>
      </c>
      <c r="D332" t="s">
        <v>30</v>
      </c>
      <c r="E332" s="1">
        <v>45889</v>
      </c>
      <c r="F332">
        <v>65117.51</v>
      </c>
      <c r="G332">
        <v>17.2</v>
      </c>
      <c r="H332">
        <v>24</v>
      </c>
      <c r="I332" t="s">
        <v>14</v>
      </c>
      <c r="J332">
        <v>37768</v>
      </c>
      <c r="K332">
        <f t="shared" ca="1" si="30"/>
        <v>60</v>
      </c>
      <c r="L332">
        <f t="shared" ca="1" si="31"/>
        <v>0</v>
      </c>
      <c r="M332" t="str">
        <f t="shared" ca="1" si="32"/>
        <v>Medium</v>
      </c>
      <c r="N332">
        <f t="shared" ca="1" si="33"/>
        <v>2.4000000000000004</v>
      </c>
      <c r="O332">
        <f t="shared" ca="1" si="34"/>
        <v>0</v>
      </c>
      <c r="P332">
        <f t="shared" ca="1" si="35"/>
        <v>0</v>
      </c>
    </row>
    <row r="333" spans="1:16" x14ac:dyDescent="0.3">
      <c r="A333" t="s">
        <v>593</v>
      </c>
      <c r="B333" t="s">
        <v>218</v>
      </c>
      <c r="C333" t="s">
        <v>33</v>
      </c>
      <c r="D333" t="s">
        <v>22</v>
      </c>
      <c r="E333" s="1">
        <v>45791</v>
      </c>
      <c r="F333">
        <v>48592.75</v>
      </c>
      <c r="G333">
        <v>4.71</v>
      </c>
      <c r="H333">
        <v>60</v>
      </c>
      <c r="I333" t="s">
        <v>27</v>
      </c>
      <c r="J333">
        <v>0</v>
      </c>
      <c r="K333">
        <f t="shared" ca="1" si="30"/>
        <v>0</v>
      </c>
      <c r="L333">
        <f t="shared" ca="1" si="31"/>
        <v>0</v>
      </c>
      <c r="M333" t="str">
        <f t="shared" ca="1" si="32"/>
        <v>Low</v>
      </c>
      <c r="N333">
        <f t="shared" ca="1" si="33"/>
        <v>0.6</v>
      </c>
      <c r="O333">
        <f t="shared" ca="1" si="34"/>
        <v>0</v>
      </c>
      <c r="P333">
        <f t="shared" ca="1" si="35"/>
        <v>56367.59</v>
      </c>
    </row>
    <row r="334" spans="1:16" x14ac:dyDescent="0.3">
      <c r="A334" t="s">
        <v>594</v>
      </c>
      <c r="B334" t="s">
        <v>362</v>
      </c>
      <c r="C334" t="s">
        <v>17</v>
      </c>
      <c r="D334" t="s">
        <v>26</v>
      </c>
      <c r="E334" s="1">
        <v>45379</v>
      </c>
      <c r="F334">
        <v>86505.42</v>
      </c>
      <c r="G334">
        <v>8.5</v>
      </c>
      <c r="H334">
        <v>120</v>
      </c>
      <c r="I334" t="s">
        <v>14</v>
      </c>
      <c r="J334">
        <v>70934</v>
      </c>
      <c r="K334">
        <f t="shared" ca="1" si="30"/>
        <v>15</v>
      </c>
      <c r="L334">
        <f t="shared" ca="1" si="31"/>
        <v>0</v>
      </c>
      <c r="M334" t="str">
        <f t="shared" ca="1" si="32"/>
        <v>Low</v>
      </c>
      <c r="N334">
        <f t="shared" ca="1" si="33"/>
        <v>1.2</v>
      </c>
      <c r="O334">
        <f t="shared" ca="1" si="34"/>
        <v>0</v>
      </c>
      <c r="P334">
        <f t="shared" ca="1" si="35"/>
        <v>88235.528399999996</v>
      </c>
    </row>
    <row r="335" spans="1:16" x14ac:dyDescent="0.3">
      <c r="A335" t="s">
        <v>595</v>
      </c>
      <c r="B335" t="s">
        <v>596</v>
      </c>
      <c r="C335" t="s">
        <v>25</v>
      </c>
      <c r="D335" t="s">
        <v>13</v>
      </c>
      <c r="E335" s="1">
        <v>45962</v>
      </c>
      <c r="F335">
        <v>8719.0499999999993</v>
      </c>
      <c r="G335">
        <v>13.24</v>
      </c>
      <c r="H335">
        <v>60</v>
      </c>
      <c r="I335" t="s">
        <v>14</v>
      </c>
      <c r="J335">
        <v>8196</v>
      </c>
      <c r="K335">
        <f t="shared" ca="1" si="30"/>
        <v>120</v>
      </c>
      <c r="L335">
        <f t="shared" ca="1" si="31"/>
        <v>1</v>
      </c>
      <c r="M335" t="str">
        <f t="shared" ca="1" si="32"/>
        <v>High</v>
      </c>
      <c r="N335">
        <f t="shared" ca="1" si="33"/>
        <v>15</v>
      </c>
      <c r="O335">
        <f t="shared" ca="1" si="34"/>
        <v>12</v>
      </c>
      <c r="P335">
        <f t="shared" ca="1" si="35"/>
        <v>0</v>
      </c>
    </row>
    <row r="336" spans="1:16" x14ac:dyDescent="0.3">
      <c r="A336" t="s">
        <v>597</v>
      </c>
      <c r="B336" t="s">
        <v>598</v>
      </c>
      <c r="C336" t="s">
        <v>51</v>
      </c>
      <c r="D336" t="s">
        <v>13</v>
      </c>
      <c r="E336" s="1">
        <v>45827</v>
      </c>
      <c r="F336">
        <v>28166.63</v>
      </c>
      <c r="G336">
        <v>18.8</v>
      </c>
      <c r="H336">
        <v>48</v>
      </c>
      <c r="I336" t="s">
        <v>14</v>
      </c>
      <c r="J336">
        <v>23097</v>
      </c>
      <c r="K336">
        <f t="shared" ca="1" si="30"/>
        <v>0</v>
      </c>
      <c r="L336">
        <f t="shared" ca="1" si="31"/>
        <v>0</v>
      </c>
      <c r="M336" t="str">
        <f t="shared" ca="1" si="32"/>
        <v>Low</v>
      </c>
      <c r="N336">
        <f t="shared" ca="1" si="33"/>
        <v>0.48</v>
      </c>
      <c r="O336">
        <f t="shared" ca="1" si="34"/>
        <v>0</v>
      </c>
      <c r="P336">
        <f t="shared" ca="1" si="35"/>
        <v>0</v>
      </c>
    </row>
    <row r="337" spans="1:16" x14ac:dyDescent="0.3">
      <c r="A337" t="s">
        <v>599</v>
      </c>
      <c r="B337" t="s">
        <v>46</v>
      </c>
      <c r="C337" t="s">
        <v>70</v>
      </c>
      <c r="D337" t="s">
        <v>75</v>
      </c>
      <c r="E337" s="1">
        <v>45572</v>
      </c>
      <c r="F337">
        <v>1833.73</v>
      </c>
      <c r="G337">
        <v>13.75</v>
      </c>
      <c r="H337">
        <v>120</v>
      </c>
      <c r="I337" t="s">
        <v>14</v>
      </c>
      <c r="J337">
        <v>1595</v>
      </c>
      <c r="K337">
        <f t="shared" ca="1" si="30"/>
        <v>30</v>
      </c>
      <c r="L337">
        <f t="shared" ca="1" si="31"/>
        <v>0</v>
      </c>
      <c r="M337" t="str">
        <f t="shared" ca="1" si="32"/>
        <v>Medium</v>
      </c>
      <c r="N337">
        <f t="shared" ca="1" si="33"/>
        <v>6</v>
      </c>
      <c r="O337">
        <f t="shared" ca="1" si="34"/>
        <v>0</v>
      </c>
      <c r="P337">
        <f t="shared" ca="1" si="35"/>
        <v>1466.9839999999999</v>
      </c>
    </row>
    <row r="338" spans="1:16" x14ac:dyDescent="0.3">
      <c r="A338" t="s">
        <v>600</v>
      </c>
      <c r="B338" t="s">
        <v>601</v>
      </c>
      <c r="C338" t="s">
        <v>54</v>
      </c>
      <c r="D338" t="s">
        <v>18</v>
      </c>
      <c r="E338" s="1">
        <v>45423</v>
      </c>
      <c r="F338">
        <v>12125.32</v>
      </c>
      <c r="G338">
        <v>12.41</v>
      </c>
      <c r="H338">
        <v>24</v>
      </c>
      <c r="I338" t="s">
        <v>14</v>
      </c>
      <c r="J338">
        <v>8003</v>
      </c>
      <c r="K338">
        <f t="shared" ca="1" si="30"/>
        <v>30</v>
      </c>
      <c r="L338">
        <f t="shared" ca="1" si="31"/>
        <v>0</v>
      </c>
      <c r="M338" t="str">
        <f t="shared" ca="1" si="32"/>
        <v>Medium</v>
      </c>
      <c r="N338">
        <f t="shared" ca="1" si="33"/>
        <v>1.2000000000000002</v>
      </c>
      <c r="O338">
        <f t="shared" ca="1" si="34"/>
        <v>0</v>
      </c>
      <c r="P338">
        <f t="shared" ca="1" si="35"/>
        <v>0</v>
      </c>
    </row>
    <row r="339" spans="1:16" x14ac:dyDescent="0.3">
      <c r="A339" t="s">
        <v>602</v>
      </c>
      <c r="B339" t="s">
        <v>134</v>
      </c>
      <c r="C339" t="s">
        <v>51</v>
      </c>
      <c r="D339" t="s">
        <v>75</v>
      </c>
      <c r="E339" s="1">
        <v>45363</v>
      </c>
      <c r="F339">
        <v>92397.35</v>
      </c>
      <c r="G339">
        <v>17.84</v>
      </c>
      <c r="H339">
        <v>180</v>
      </c>
      <c r="I339" t="s">
        <v>14</v>
      </c>
      <c r="J339">
        <v>78538</v>
      </c>
      <c r="K339">
        <f t="shared" ca="1" si="30"/>
        <v>0</v>
      </c>
      <c r="L339">
        <f t="shared" ca="1" si="31"/>
        <v>0</v>
      </c>
      <c r="M339" t="str">
        <f t="shared" ca="1" si="32"/>
        <v>Low</v>
      </c>
      <c r="N339">
        <f t="shared" ca="1" si="33"/>
        <v>1.8</v>
      </c>
      <c r="O339">
        <f t="shared" ca="1" si="34"/>
        <v>0</v>
      </c>
      <c r="P339">
        <f t="shared" ca="1" si="35"/>
        <v>95169.270500000013</v>
      </c>
    </row>
    <row r="340" spans="1:16" x14ac:dyDescent="0.3">
      <c r="A340" t="s">
        <v>603</v>
      </c>
      <c r="B340" t="s">
        <v>604</v>
      </c>
      <c r="C340" t="s">
        <v>51</v>
      </c>
      <c r="D340" t="s">
        <v>22</v>
      </c>
      <c r="E340" s="1">
        <v>45974</v>
      </c>
      <c r="F340">
        <v>72006.789999999994</v>
      </c>
      <c r="G340">
        <v>8.58</v>
      </c>
      <c r="H340">
        <v>360</v>
      </c>
      <c r="I340" t="s">
        <v>27</v>
      </c>
      <c r="J340">
        <v>0</v>
      </c>
      <c r="K340">
        <f t="shared" ca="1" si="30"/>
        <v>90</v>
      </c>
      <c r="L340">
        <f t="shared" ca="1" si="31"/>
        <v>1</v>
      </c>
      <c r="M340" t="str">
        <f t="shared" ca="1" si="32"/>
        <v>High</v>
      </c>
      <c r="N340">
        <f t="shared" ca="1" si="33"/>
        <v>90</v>
      </c>
      <c r="O340">
        <f t="shared" ca="1" si="34"/>
        <v>72</v>
      </c>
      <c r="P340">
        <f t="shared" ca="1" si="35"/>
        <v>59765.635699999992</v>
      </c>
    </row>
    <row r="341" spans="1:16" x14ac:dyDescent="0.3">
      <c r="A341" t="s">
        <v>605</v>
      </c>
      <c r="B341" t="s">
        <v>606</v>
      </c>
      <c r="C341" t="s">
        <v>123</v>
      </c>
      <c r="D341" t="s">
        <v>13</v>
      </c>
      <c r="E341" s="1">
        <v>46001</v>
      </c>
      <c r="F341">
        <v>8456.24</v>
      </c>
      <c r="G341">
        <v>9.98</v>
      </c>
      <c r="H341">
        <v>72</v>
      </c>
      <c r="I341" t="s">
        <v>14</v>
      </c>
      <c r="J341">
        <v>4144</v>
      </c>
      <c r="K341">
        <f t="shared" ca="1" si="30"/>
        <v>120</v>
      </c>
      <c r="L341">
        <f t="shared" ca="1" si="31"/>
        <v>1</v>
      </c>
      <c r="M341" t="str">
        <f t="shared" ca="1" si="32"/>
        <v>High</v>
      </c>
      <c r="N341">
        <f t="shared" ca="1" si="33"/>
        <v>18</v>
      </c>
      <c r="O341">
        <f t="shared" ca="1" si="34"/>
        <v>9.36</v>
      </c>
      <c r="P341">
        <f t="shared" ca="1" si="35"/>
        <v>0</v>
      </c>
    </row>
    <row r="342" spans="1:16" x14ac:dyDescent="0.3">
      <c r="A342" t="s">
        <v>607</v>
      </c>
      <c r="B342" t="s">
        <v>608</v>
      </c>
      <c r="C342" t="s">
        <v>36</v>
      </c>
      <c r="D342" t="s">
        <v>13</v>
      </c>
      <c r="E342" s="1">
        <v>45467</v>
      </c>
      <c r="F342">
        <v>10791.29</v>
      </c>
      <c r="G342">
        <v>11.67</v>
      </c>
      <c r="H342">
        <v>180</v>
      </c>
      <c r="I342" t="s">
        <v>27</v>
      </c>
      <c r="J342">
        <v>0</v>
      </c>
      <c r="K342">
        <f t="shared" ca="1" si="30"/>
        <v>0</v>
      </c>
      <c r="L342">
        <f t="shared" ca="1" si="31"/>
        <v>0</v>
      </c>
      <c r="M342" t="str">
        <f t="shared" ca="1" si="32"/>
        <v>Low</v>
      </c>
      <c r="N342">
        <f t="shared" ca="1" si="33"/>
        <v>1.8</v>
      </c>
      <c r="O342">
        <f t="shared" ca="1" si="34"/>
        <v>0</v>
      </c>
      <c r="P342">
        <f t="shared" ca="1" si="35"/>
        <v>0</v>
      </c>
    </row>
    <row r="343" spans="1:16" x14ac:dyDescent="0.3">
      <c r="A343" t="s">
        <v>609</v>
      </c>
      <c r="B343" t="s">
        <v>561</v>
      </c>
      <c r="C343" t="s">
        <v>17</v>
      </c>
      <c r="D343" t="s">
        <v>22</v>
      </c>
      <c r="E343" s="1">
        <v>45694</v>
      </c>
      <c r="F343">
        <v>23941.09</v>
      </c>
      <c r="G343">
        <v>17.09</v>
      </c>
      <c r="H343">
        <v>48</v>
      </c>
      <c r="I343" t="s">
        <v>14</v>
      </c>
      <c r="J343">
        <v>11971</v>
      </c>
      <c r="K343">
        <f t="shared" ca="1" si="30"/>
        <v>0</v>
      </c>
      <c r="L343">
        <f t="shared" ca="1" si="31"/>
        <v>0</v>
      </c>
      <c r="M343" t="str">
        <f t="shared" ca="1" si="32"/>
        <v>Low</v>
      </c>
      <c r="N343">
        <f t="shared" ca="1" si="33"/>
        <v>0.48</v>
      </c>
      <c r="O343">
        <f t="shared" ca="1" si="34"/>
        <v>0</v>
      </c>
      <c r="P343">
        <f t="shared" ca="1" si="35"/>
        <v>26335.199000000001</v>
      </c>
    </row>
    <row r="344" spans="1:16" x14ac:dyDescent="0.3">
      <c r="A344" t="s">
        <v>610</v>
      </c>
      <c r="B344" t="s">
        <v>112</v>
      </c>
      <c r="C344" t="s">
        <v>123</v>
      </c>
      <c r="D344" t="s">
        <v>18</v>
      </c>
      <c r="E344" s="1">
        <v>45648</v>
      </c>
      <c r="F344">
        <v>14039.12</v>
      </c>
      <c r="G344">
        <v>9.9700000000000006</v>
      </c>
      <c r="H344">
        <v>180</v>
      </c>
      <c r="I344" t="s">
        <v>27</v>
      </c>
      <c r="J344">
        <v>0</v>
      </c>
      <c r="K344">
        <f t="shared" ca="1" si="30"/>
        <v>45</v>
      </c>
      <c r="L344">
        <f t="shared" ca="1" si="31"/>
        <v>0</v>
      </c>
      <c r="M344" t="str">
        <f t="shared" ca="1" si="32"/>
        <v>Medium</v>
      </c>
      <c r="N344">
        <f t="shared" ca="1" si="33"/>
        <v>9</v>
      </c>
      <c r="O344">
        <f t="shared" ca="1" si="34"/>
        <v>0</v>
      </c>
      <c r="P344">
        <f t="shared" ca="1" si="35"/>
        <v>0</v>
      </c>
    </row>
    <row r="345" spans="1:16" x14ac:dyDescent="0.3">
      <c r="A345" t="s">
        <v>611</v>
      </c>
      <c r="B345" t="s">
        <v>612</v>
      </c>
      <c r="C345" t="s">
        <v>17</v>
      </c>
      <c r="D345" t="s">
        <v>75</v>
      </c>
      <c r="E345" s="1">
        <v>46046</v>
      </c>
      <c r="F345">
        <v>68099.27</v>
      </c>
      <c r="G345">
        <v>18.809999999999999</v>
      </c>
      <c r="H345">
        <v>84</v>
      </c>
      <c r="I345" t="s">
        <v>14</v>
      </c>
      <c r="J345">
        <v>23835</v>
      </c>
      <c r="K345">
        <f t="shared" ca="1" si="30"/>
        <v>0</v>
      </c>
      <c r="L345">
        <f t="shared" ca="1" si="31"/>
        <v>0</v>
      </c>
      <c r="M345" t="str">
        <f t="shared" ca="1" si="32"/>
        <v>Low</v>
      </c>
      <c r="N345">
        <f t="shared" ca="1" si="33"/>
        <v>0.84</v>
      </c>
      <c r="O345">
        <f t="shared" ca="1" si="34"/>
        <v>0</v>
      </c>
      <c r="P345">
        <f t="shared" ca="1" si="35"/>
        <v>81719.124000000011</v>
      </c>
    </row>
    <row r="346" spans="1:16" x14ac:dyDescent="0.3">
      <c r="A346" t="s">
        <v>613</v>
      </c>
      <c r="B346" t="s">
        <v>362</v>
      </c>
      <c r="C346" t="s">
        <v>51</v>
      </c>
      <c r="D346" t="s">
        <v>13</v>
      </c>
      <c r="E346" s="1">
        <v>45597</v>
      </c>
      <c r="F346">
        <v>80503.05</v>
      </c>
      <c r="G346">
        <v>4.8</v>
      </c>
      <c r="H346">
        <v>36</v>
      </c>
      <c r="I346" t="s">
        <v>19</v>
      </c>
      <c r="J346">
        <v>0</v>
      </c>
      <c r="K346">
        <f t="shared" ca="1" si="30"/>
        <v>0</v>
      </c>
      <c r="L346">
        <f t="shared" ca="1" si="31"/>
        <v>0</v>
      </c>
      <c r="M346" t="str">
        <f t="shared" ca="1" si="32"/>
        <v>Low</v>
      </c>
      <c r="N346">
        <f t="shared" ca="1" si="33"/>
        <v>0.36</v>
      </c>
      <c r="O346">
        <f t="shared" ca="1" si="34"/>
        <v>0</v>
      </c>
      <c r="P346">
        <f t="shared" ca="1" si="35"/>
        <v>0</v>
      </c>
    </row>
    <row r="347" spans="1:16" x14ac:dyDescent="0.3">
      <c r="A347" t="s">
        <v>614</v>
      </c>
      <c r="B347" t="s">
        <v>615</v>
      </c>
      <c r="C347" t="s">
        <v>17</v>
      </c>
      <c r="D347" t="s">
        <v>22</v>
      </c>
      <c r="E347" s="1">
        <v>46137</v>
      </c>
      <c r="F347">
        <v>73025.539999999994</v>
      </c>
      <c r="G347">
        <v>14.29</v>
      </c>
      <c r="H347">
        <v>72</v>
      </c>
      <c r="I347" t="s">
        <v>14</v>
      </c>
      <c r="J347">
        <v>51118</v>
      </c>
      <c r="K347">
        <f t="shared" ca="1" si="30"/>
        <v>120</v>
      </c>
      <c r="L347">
        <f t="shared" ca="1" si="31"/>
        <v>1</v>
      </c>
      <c r="M347" t="str">
        <f t="shared" ca="1" si="32"/>
        <v>High</v>
      </c>
      <c r="N347">
        <f t="shared" ca="1" si="33"/>
        <v>18</v>
      </c>
      <c r="O347">
        <f t="shared" ca="1" si="34"/>
        <v>15.84</v>
      </c>
      <c r="P347">
        <f t="shared" ca="1" si="35"/>
        <v>73025.539999999994</v>
      </c>
    </row>
    <row r="348" spans="1:16" x14ac:dyDescent="0.3">
      <c r="A348" t="s">
        <v>616</v>
      </c>
      <c r="B348" t="s">
        <v>65</v>
      </c>
      <c r="C348" t="s">
        <v>51</v>
      </c>
      <c r="D348" t="s">
        <v>75</v>
      </c>
      <c r="E348" s="1">
        <v>45975</v>
      </c>
      <c r="F348">
        <v>89609.83</v>
      </c>
      <c r="G348">
        <v>19.75</v>
      </c>
      <c r="H348">
        <v>360</v>
      </c>
      <c r="I348" t="s">
        <v>14</v>
      </c>
      <c r="J348">
        <v>77961</v>
      </c>
      <c r="K348">
        <f t="shared" ca="1" si="30"/>
        <v>0</v>
      </c>
      <c r="L348">
        <f t="shared" ca="1" si="31"/>
        <v>0</v>
      </c>
      <c r="M348" t="str">
        <f t="shared" ca="1" si="32"/>
        <v>Low</v>
      </c>
      <c r="N348">
        <f t="shared" ca="1" si="33"/>
        <v>3.6</v>
      </c>
      <c r="O348">
        <f t="shared" ca="1" si="34"/>
        <v>0</v>
      </c>
      <c r="P348">
        <f t="shared" ca="1" si="35"/>
        <v>112908.3858</v>
      </c>
    </row>
    <row r="349" spans="1:16" x14ac:dyDescent="0.3">
      <c r="A349" t="s">
        <v>617</v>
      </c>
      <c r="B349" t="s">
        <v>618</v>
      </c>
      <c r="C349" t="s">
        <v>36</v>
      </c>
      <c r="D349" t="s">
        <v>18</v>
      </c>
      <c r="E349" s="1">
        <v>45433</v>
      </c>
      <c r="F349">
        <v>79824.28</v>
      </c>
      <c r="G349">
        <v>6.14</v>
      </c>
      <c r="H349">
        <v>36</v>
      </c>
      <c r="I349" t="s">
        <v>19</v>
      </c>
      <c r="J349">
        <v>0</v>
      </c>
      <c r="K349">
        <f t="shared" ca="1" si="30"/>
        <v>0</v>
      </c>
      <c r="L349">
        <f t="shared" ca="1" si="31"/>
        <v>0</v>
      </c>
      <c r="M349" t="str">
        <f t="shared" ca="1" si="32"/>
        <v>Low</v>
      </c>
      <c r="N349">
        <f t="shared" ca="1" si="33"/>
        <v>0.36</v>
      </c>
      <c r="O349">
        <f t="shared" ca="1" si="34"/>
        <v>0</v>
      </c>
      <c r="P349">
        <f t="shared" ca="1" si="35"/>
        <v>0</v>
      </c>
    </row>
    <row r="350" spans="1:16" x14ac:dyDescent="0.3">
      <c r="A350" t="s">
        <v>619</v>
      </c>
      <c r="B350" t="s">
        <v>620</v>
      </c>
      <c r="C350" t="s">
        <v>33</v>
      </c>
      <c r="D350" t="s">
        <v>30</v>
      </c>
      <c r="E350" s="1">
        <v>45534</v>
      </c>
      <c r="F350">
        <v>95823.31</v>
      </c>
      <c r="G350">
        <v>13.44</v>
      </c>
      <c r="H350">
        <v>72</v>
      </c>
      <c r="I350" t="s">
        <v>14</v>
      </c>
      <c r="J350">
        <v>62285</v>
      </c>
      <c r="K350">
        <f t="shared" ca="1" si="30"/>
        <v>0</v>
      </c>
      <c r="L350">
        <f t="shared" ca="1" si="31"/>
        <v>0</v>
      </c>
      <c r="M350" t="str">
        <f t="shared" ca="1" si="32"/>
        <v>Low</v>
      </c>
      <c r="N350">
        <f t="shared" ca="1" si="33"/>
        <v>0.72</v>
      </c>
      <c r="O350">
        <f t="shared" ca="1" si="34"/>
        <v>0</v>
      </c>
      <c r="P350">
        <f t="shared" ca="1" si="35"/>
        <v>0</v>
      </c>
    </row>
    <row r="351" spans="1:16" x14ac:dyDescent="0.3">
      <c r="A351" t="s">
        <v>621</v>
      </c>
      <c r="B351" t="s">
        <v>622</v>
      </c>
      <c r="C351" t="s">
        <v>33</v>
      </c>
      <c r="D351" t="s">
        <v>75</v>
      </c>
      <c r="E351" s="1">
        <v>45499</v>
      </c>
      <c r="F351">
        <v>15188.57</v>
      </c>
      <c r="G351">
        <v>10.69</v>
      </c>
      <c r="H351">
        <v>360</v>
      </c>
      <c r="I351" t="s">
        <v>27</v>
      </c>
      <c r="J351">
        <v>0</v>
      </c>
      <c r="K351">
        <f t="shared" ca="1" si="30"/>
        <v>0</v>
      </c>
      <c r="L351">
        <f t="shared" ca="1" si="31"/>
        <v>0</v>
      </c>
      <c r="M351" t="str">
        <f t="shared" ca="1" si="32"/>
        <v>Low</v>
      </c>
      <c r="N351">
        <f t="shared" ca="1" si="33"/>
        <v>3.6</v>
      </c>
      <c r="O351">
        <f t="shared" ca="1" si="34"/>
        <v>0</v>
      </c>
      <c r="P351">
        <f t="shared" ca="1" si="35"/>
        <v>12606.5131</v>
      </c>
    </row>
    <row r="352" spans="1:16" x14ac:dyDescent="0.3">
      <c r="A352" t="s">
        <v>623</v>
      </c>
      <c r="B352" t="s">
        <v>624</v>
      </c>
      <c r="C352" t="s">
        <v>70</v>
      </c>
      <c r="D352" t="s">
        <v>13</v>
      </c>
      <c r="E352" s="1">
        <v>45894</v>
      </c>
      <c r="F352">
        <v>28750.1</v>
      </c>
      <c r="G352">
        <v>11.48</v>
      </c>
      <c r="H352">
        <v>84</v>
      </c>
      <c r="I352" t="s">
        <v>27</v>
      </c>
      <c r="J352">
        <v>0</v>
      </c>
      <c r="K352">
        <f t="shared" ca="1" si="30"/>
        <v>15</v>
      </c>
      <c r="L352">
        <f t="shared" ca="1" si="31"/>
        <v>0</v>
      </c>
      <c r="M352" t="str">
        <f t="shared" ca="1" si="32"/>
        <v>Low</v>
      </c>
      <c r="N352">
        <f t="shared" ca="1" si="33"/>
        <v>0.84</v>
      </c>
      <c r="O352">
        <f t="shared" ca="1" si="34"/>
        <v>0</v>
      </c>
      <c r="P352">
        <f t="shared" ca="1" si="35"/>
        <v>0</v>
      </c>
    </row>
    <row r="353" spans="1:16" x14ac:dyDescent="0.3">
      <c r="A353" t="s">
        <v>625</v>
      </c>
      <c r="B353" t="s">
        <v>626</v>
      </c>
      <c r="C353" t="s">
        <v>39</v>
      </c>
      <c r="D353" t="s">
        <v>22</v>
      </c>
      <c r="E353" s="1">
        <v>45414</v>
      </c>
      <c r="F353">
        <v>96437.21</v>
      </c>
      <c r="G353">
        <v>5.0999999999999996</v>
      </c>
      <c r="H353">
        <v>48</v>
      </c>
      <c r="I353" t="s">
        <v>14</v>
      </c>
      <c r="J353">
        <v>39539</v>
      </c>
      <c r="K353">
        <f t="shared" ca="1" si="30"/>
        <v>15</v>
      </c>
      <c r="L353">
        <f t="shared" ca="1" si="31"/>
        <v>0</v>
      </c>
      <c r="M353" t="str">
        <f t="shared" ca="1" si="32"/>
        <v>Low</v>
      </c>
      <c r="N353">
        <f t="shared" ca="1" si="33"/>
        <v>0.48</v>
      </c>
      <c r="O353">
        <f t="shared" ca="1" si="34"/>
        <v>0</v>
      </c>
      <c r="P353">
        <f t="shared" ca="1" si="35"/>
        <v>102223.44259999999</v>
      </c>
    </row>
    <row r="354" spans="1:16" x14ac:dyDescent="0.3">
      <c r="A354" t="s">
        <v>627</v>
      </c>
      <c r="B354" t="s">
        <v>628</v>
      </c>
      <c r="C354" t="s">
        <v>123</v>
      </c>
      <c r="D354" t="s">
        <v>26</v>
      </c>
      <c r="E354" s="1">
        <v>46109</v>
      </c>
      <c r="F354">
        <v>86468.12</v>
      </c>
      <c r="G354">
        <v>4.93</v>
      </c>
      <c r="H354">
        <v>24</v>
      </c>
      <c r="I354" t="s">
        <v>14</v>
      </c>
      <c r="J354">
        <v>71769</v>
      </c>
      <c r="K354">
        <f t="shared" ca="1" si="30"/>
        <v>45</v>
      </c>
      <c r="L354">
        <f t="shared" ca="1" si="31"/>
        <v>0</v>
      </c>
      <c r="M354" t="str">
        <f t="shared" ca="1" si="32"/>
        <v>Medium</v>
      </c>
      <c r="N354">
        <f t="shared" ca="1" si="33"/>
        <v>1.2000000000000002</v>
      </c>
      <c r="O354">
        <f t="shared" ca="1" si="34"/>
        <v>0</v>
      </c>
      <c r="P354">
        <f t="shared" ca="1" si="35"/>
        <v>109814.51240000001</v>
      </c>
    </row>
    <row r="355" spans="1:16" x14ac:dyDescent="0.3">
      <c r="A355" t="s">
        <v>629</v>
      </c>
      <c r="B355" t="s">
        <v>559</v>
      </c>
      <c r="C355" t="s">
        <v>51</v>
      </c>
      <c r="D355" t="s">
        <v>18</v>
      </c>
      <c r="E355" s="1">
        <v>45548</v>
      </c>
      <c r="F355">
        <v>53380.17</v>
      </c>
      <c r="G355">
        <v>14.51</v>
      </c>
      <c r="H355">
        <v>48</v>
      </c>
      <c r="I355" t="s">
        <v>14</v>
      </c>
      <c r="J355">
        <v>48042</v>
      </c>
      <c r="K355">
        <f t="shared" ca="1" si="30"/>
        <v>0</v>
      </c>
      <c r="L355">
        <f t="shared" ca="1" si="31"/>
        <v>0</v>
      </c>
      <c r="M355" t="str">
        <f t="shared" ca="1" si="32"/>
        <v>Low</v>
      </c>
      <c r="N355">
        <f t="shared" ca="1" si="33"/>
        <v>0.48</v>
      </c>
      <c r="O355">
        <f t="shared" ca="1" si="34"/>
        <v>0</v>
      </c>
      <c r="P355">
        <f t="shared" ca="1" si="35"/>
        <v>0</v>
      </c>
    </row>
    <row r="356" spans="1:16" x14ac:dyDescent="0.3">
      <c r="A356" t="s">
        <v>630</v>
      </c>
      <c r="B356" t="s">
        <v>631</v>
      </c>
      <c r="C356" t="s">
        <v>36</v>
      </c>
      <c r="D356" t="s">
        <v>75</v>
      </c>
      <c r="E356" s="1">
        <v>45293</v>
      </c>
      <c r="F356">
        <v>94434.55</v>
      </c>
      <c r="G356">
        <v>20.02</v>
      </c>
      <c r="H356">
        <v>36</v>
      </c>
      <c r="I356" t="s">
        <v>14</v>
      </c>
      <c r="J356">
        <v>41551</v>
      </c>
      <c r="K356">
        <f t="shared" ca="1" si="30"/>
        <v>0</v>
      </c>
      <c r="L356">
        <f t="shared" ca="1" si="31"/>
        <v>0</v>
      </c>
      <c r="M356" t="str">
        <f t="shared" ca="1" si="32"/>
        <v>Low</v>
      </c>
      <c r="N356">
        <f t="shared" ca="1" si="33"/>
        <v>0.36</v>
      </c>
      <c r="O356">
        <f t="shared" ca="1" si="34"/>
        <v>0</v>
      </c>
      <c r="P356">
        <f t="shared" ca="1" si="35"/>
        <v>113321.46</v>
      </c>
    </row>
    <row r="357" spans="1:16" x14ac:dyDescent="0.3">
      <c r="A357" t="s">
        <v>632</v>
      </c>
      <c r="B357" t="s">
        <v>633</v>
      </c>
      <c r="C357" t="s">
        <v>12</v>
      </c>
      <c r="D357" t="s">
        <v>26</v>
      </c>
      <c r="E357" s="1">
        <v>45546</v>
      </c>
      <c r="F357">
        <v>18856.900000000001</v>
      </c>
      <c r="G357">
        <v>7.07</v>
      </c>
      <c r="H357">
        <v>240</v>
      </c>
      <c r="I357" t="s">
        <v>19</v>
      </c>
      <c r="J357">
        <v>0</v>
      </c>
      <c r="K357">
        <f t="shared" ca="1" si="30"/>
        <v>0</v>
      </c>
      <c r="L357">
        <f t="shared" ca="1" si="31"/>
        <v>0</v>
      </c>
      <c r="M357" t="str">
        <f t="shared" ca="1" si="32"/>
        <v>Low</v>
      </c>
      <c r="N357">
        <f t="shared" ca="1" si="33"/>
        <v>2.4</v>
      </c>
      <c r="O357">
        <f t="shared" ca="1" si="34"/>
        <v>0</v>
      </c>
      <c r="P357">
        <f t="shared" ca="1" si="35"/>
        <v>14896.951000000001</v>
      </c>
    </row>
    <row r="358" spans="1:16" x14ac:dyDescent="0.3">
      <c r="A358" t="s">
        <v>634</v>
      </c>
      <c r="B358" t="s">
        <v>302</v>
      </c>
      <c r="C358" t="s">
        <v>39</v>
      </c>
      <c r="D358" t="s">
        <v>75</v>
      </c>
      <c r="E358" s="1">
        <v>45576</v>
      </c>
      <c r="F358">
        <v>75177.48</v>
      </c>
      <c r="G358">
        <v>21.8</v>
      </c>
      <c r="H358">
        <v>12</v>
      </c>
      <c r="I358" t="s">
        <v>14</v>
      </c>
      <c r="J358">
        <v>66908</v>
      </c>
      <c r="K358">
        <f t="shared" ca="1" si="30"/>
        <v>30</v>
      </c>
      <c r="L358">
        <f t="shared" ca="1" si="31"/>
        <v>0</v>
      </c>
      <c r="M358" t="str">
        <f t="shared" ca="1" si="32"/>
        <v>Medium</v>
      </c>
      <c r="N358">
        <f t="shared" ca="1" si="33"/>
        <v>0.60000000000000009</v>
      </c>
      <c r="O358">
        <f t="shared" ca="1" si="34"/>
        <v>0</v>
      </c>
      <c r="P358">
        <f t="shared" ca="1" si="35"/>
        <v>69163.281599999988</v>
      </c>
    </row>
    <row r="359" spans="1:16" x14ac:dyDescent="0.3">
      <c r="A359" t="s">
        <v>635</v>
      </c>
      <c r="B359" t="s">
        <v>300</v>
      </c>
      <c r="C359" t="s">
        <v>70</v>
      </c>
      <c r="D359" t="s">
        <v>18</v>
      </c>
      <c r="E359" s="1">
        <v>45966</v>
      </c>
      <c r="F359">
        <v>43474.97</v>
      </c>
      <c r="G359">
        <v>15.86</v>
      </c>
      <c r="H359">
        <v>36</v>
      </c>
      <c r="I359" t="s">
        <v>27</v>
      </c>
      <c r="J359">
        <v>0</v>
      </c>
      <c r="K359">
        <f t="shared" ca="1" si="30"/>
        <v>90</v>
      </c>
      <c r="L359">
        <f t="shared" ca="1" si="31"/>
        <v>1</v>
      </c>
      <c r="M359" t="str">
        <f t="shared" ca="1" si="32"/>
        <v>High</v>
      </c>
      <c r="N359">
        <f t="shared" ca="1" si="33"/>
        <v>9</v>
      </c>
      <c r="O359">
        <f t="shared" ca="1" si="34"/>
        <v>3.6</v>
      </c>
      <c r="P359">
        <f t="shared" ca="1" si="35"/>
        <v>0</v>
      </c>
    </row>
    <row r="360" spans="1:16" x14ac:dyDescent="0.3">
      <c r="A360" t="s">
        <v>636</v>
      </c>
      <c r="B360" t="s">
        <v>414</v>
      </c>
      <c r="C360" t="s">
        <v>17</v>
      </c>
      <c r="D360" t="s">
        <v>18</v>
      </c>
      <c r="E360" s="1">
        <v>45335</v>
      </c>
      <c r="F360">
        <v>17036.93</v>
      </c>
      <c r="G360">
        <v>7.52</v>
      </c>
      <c r="H360">
        <v>84</v>
      </c>
      <c r="I360" t="s">
        <v>14</v>
      </c>
      <c r="J360">
        <v>7837</v>
      </c>
      <c r="K360">
        <f t="shared" ca="1" si="30"/>
        <v>30</v>
      </c>
      <c r="L360">
        <f t="shared" ca="1" si="31"/>
        <v>0</v>
      </c>
      <c r="M360" t="str">
        <f t="shared" ca="1" si="32"/>
        <v>Medium</v>
      </c>
      <c r="N360">
        <f t="shared" ca="1" si="33"/>
        <v>4.2</v>
      </c>
      <c r="O360">
        <f t="shared" ca="1" si="34"/>
        <v>0</v>
      </c>
      <c r="P360">
        <f t="shared" ca="1" si="35"/>
        <v>0</v>
      </c>
    </row>
    <row r="361" spans="1:16" x14ac:dyDescent="0.3">
      <c r="A361" t="s">
        <v>637</v>
      </c>
      <c r="B361" t="s">
        <v>638</v>
      </c>
      <c r="C361" t="s">
        <v>51</v>
      </c>
      <c r="D361" t="s">
        <v>75</v>
      </c>
      <c r="E361" s="1">
        <v>45345</v>
      </c>
      <c r="F361">
        <v>66818.960000000006</v>
      </c>
      <c r="G361">
        <v>5.15</v>
      </c>
      <c r="H361">
        <v>180</v>
      </c>
      <c r="I361" t="s">
        <v>14</v>
      </c>
      <c r="J361">
        <v>33409</v>
      </c>
      <c r="K361">
        <f t="shared" ca="1" si="30"/>
        <v>15</v>
      </c>
      <c r="L361">
        <f t="shared" ca="1" si="31"/>
        <v>0</v>
      </c>
      <c r="M361" t="str">
        <f t="shared" ca="1" si="32"/>
        <v>Low</v>
      </c>
      <c r="N361">
        <f t="shared" ca="1" si="33"/>
        <v>1.8</v>
      </c>
      <c r="O361">
        <f t="shared" ca="1" si="34"/>
        <v>0</v>
      </c>
      <c r="P361">
        <f t="shared" ca="1" si="35"/>
        <v>58800.684800000003</v>
      </c>
    </row>
    <row r="362" spans="1:16" x14ac:dyDescent="0.3">
      <c r="A362" t="s">
        <v>639</v>
      </c>
      <c r="B362" t="s">
        <v>640</v>
      </c>
      <c r="C362" t="s">
        <v>25</v>
      </c>
      <c r="D362" t="s">
        <v>30</v>
      </c>
      <c r="E362" s="1">
        <v>46023</v>
      </c>
      <c r="F362">
        <v>3494.42</v>
      </c>
      <c r="G362">
        <v>19.95</v>
      </c>
      <c r="H362">
        <v>240</v>
      </c>
      <c r="I362" t="s">
        <v>27</v>
      </c>
      <c r="J362">
        <v>0</v>
      </c>
      <c r="K362">
        <f t="shared" ca="1" si="30"/>
        <v>90</v>
      </c>
      <c r="L362">
        <f t="shared" ca="1" si="31"/>
        <v>1</v>
      </c>
      <c r="M362" t="str">
        <f t="shared" ca="1" si="32"/>
        <v>High</v>
      </c>
      <c r="N362">
        <f t="shared" ca="1" si="33"/>
        <v>60</v>
      </c>
      <c r="O362">
        <f t="shared" ca="1" si="34"/>
        <v>57.6</v>
      </c>
      <c r="P362">
        <f t="shared" ca="1" si="35"/>
        <v>0</v>
      </c>
    </row>
    <row r="363" spans="1:16" x14ac:dyDescent="0.3">
      <c r="A363" t="s">
        <v>641</v>
      </c>
      <c r="B363" t="s">
        <v>122</v>
      </c>
      <c r="C363" t="s">
        <v>39</v>
      </c>
      <c r="D363" t="s">
        <v>75</v>
      </c>
      <c r="E363" s="1">
        <v>45974</v>
      </c>
      <c r="F363">
        <v>70752.33</v>
      </c>
      <c r="G363">
        <v>14.47</v>
      </c>
      <c r="H363">
        <v>72</v>
      </c>
      <c r="I363" t="s">
        <v>14</v>
      </c>
      <c r="J363">
        <v>48112</v>
      </c>
      <c r="K363">
        <f t="shared" ca="1" si="30"/>
        <v>45</v>
      </c>
      <c r="L363">
        <f t="shared" ca="1" si="31"/>
        <v>0</v>
      </c>
      <c r="M363" t="str">
        <f t="shared" ca="1" si="32"/>
        <v>Medium</v>
      </c>
      <c r="N363">
        <f t="shared" ca="1" si="33"/>
        <v>3.6</v>
      </c>
      <c r="O363">
        <f t="shared" ca="1" si="34"/>
        <v>0</v>
      </c>
      <c r="P363">
        <f t="shared" ca="1" si="35"/>
        <v>77120.039699999994</v>
      </c>
    </row>
    <row r="364" spans="1:16" x14ac:dyDescent="0.3">
      <c r="A364" t="s">
        <v>642</v>
      </c>
      <c r="B364" t="s">
        <v>643</v>
      </c>
      <c r="C364" t="s">
        <v>39</v>
      </c>
      <c r="D364" t="s">
        <v>75</v>
      </c>
      <c r="E364" s="1">
        <v>46060</v>
      </c>
      <c r="F364">
        <v>46840.67</v>
      </c>
      <c r="G364">
        <v>5.84</v>
      </c>
      <c r="H364">
        <v>72</v>
      </c>
      <c r="I364" t="s">
        <v>14</v>
      </c>
      <c r="J364">
        <v>41688</v>
      </c>
      <c r="K364">
        <f t="shared" ca="1" si="30"/>
        <v>60</v>
      </c>
      <c r="L364">
        <f t="shared" ca="1" si="31"/>
        <v>0</v>
      </c>
      <c r="M364" t="str">
        <f t="shared" ca="1" si="32"/>
        <v>Medium</v>
      </c>
      <c r="N364">
        <f t="shared" ca="1" si="33"/>
        <v>7.2</v>
      </c>
      <c r="O364">
        <f t="shared" ca="1" si="34"/>
        <v>0</v>
      </c>
      <c r="P364">
        <f t="shared" ca="1" si="35"/>
        <v>58082.430800000002</v>
      </c>
    </row>
    <row r="365" spans="1:16" x14ac:dyDescent="0.3">
      <c r="A365" t="s">
        <v>644</v>
      </c>
      <c r="B365" t="s">
        <v>195</v>
      </c>
      <c r="C365" t="s">
        <v>12</v>
      </c>
      <c r="D365" t="s">
        <v>26</v>
      </c>
      <c r="E365" s="1">
        <v>45663</v>
      </c>
      <c r="F365">
        <v>19557.849999999999</v>
      </c>
      <c r="G365">
        <v>11.25</v>
      </c>
      <c r="H365">
        <v>36</v>
      </c>
      <c r="I365" t="s">
        <v>27</v>
      </c>
      <c r="J365">
        <v>0</v>
      </c>
      <c r="K365">
        <f t="shared" ca="1" si="30"/>
        <v>90</v>
      </c>
      <c r="L365">
        <f t="shared" ca="1" si="31"/>
        <v>1</v>
      </c>
      <c r="M365" t="str">
        <f t="shared" ca="1" si="32"/>
        <v>High</v>
      </c>
      <c r="N365">
        <f t="shared" ca="1" si="33"/>
        <v>9</v>
      </c>
      <c r="O365">
        <f t="shared" ca="1" si="34"/>
        <v>5.04</v>
      </c>
      <c r="P365">
        <f t="shared" ca="1" si="35"/>
        <v>19949.006999999998</v>
      </c>
    </row>
    <row r="366" spans="1:16" x14ac:dyDescent="0.3">
      <c r="A366" t="s">
        <v>645</v>
      </c>
      <c r="B366" t="s">
        <v>646</v>
      </c>
      <c r="C366" t="s">
        <v>36</v>
      </c>
      <c r="D366" t="s">
        <v>26</v>
      </c>
      <c r="E366" s="1">
        <v>45976</v>
      </c>
      <c r="F366">
        <v>55382.94</v>
      </c>
      <c r="G366">
        <v>7.86</v>
      </c>
      <c r="H366">
        <v>60</v>
      </c>
      <c r="I366" t="s">
        <v>14</v>
      </c>
      <c r="J366">
        <v>28799</v>
      </c>
      <c r="K366">
        <f t="shared" ca="1" si="30"/>
        <v>90</v>
      </c>
      <c r="L366">
        <f t="shared" ca="1" si="31"/>
        <v>1</v>
      </c>
      <c r="M366" t="str">
        <f t="shared" ca="1" si="32"/>
        <v>High</v>
      </c>
      <c r="N366">
        <f t="shared" ca="1" si="33"/>
        <v>15</v>
      </c>
      <c r="O366">
        <f t="shared" ca="1" si="34"/>
        <v>15.6</v>
      </c>
      <c r="P366">
        <f t="shared" ca="1" si="35"/>
        <v>42644.863799999999</v>
      </c>
    </row>
    <row r="367" spans="1:16" x14ac:dyDescent="0.3">
      <c r="A367" t="s">
        <v>647</v>
      </c>
      <c r="B367" t="s">
        <v>648</v>
      </c>
      <c r="C367" t="s">
        <v>70</v>
      </c>
      <c r="D367" t="s">
        <v>75</v>
      </c>
      <c r="E367" s="1">
        <v>46077</v>
      </c>
      <c r="F367">
        <v>18978.599999999999</v>
      </c>
      <c r="G367">
        <v>9.82</v>
      </c>
      <c r="H367">
        <v>360</v>
      </c>
      <c r="I367" t="s">
        <v>14</v>
      </c>
      <c r="J367">
        <v>11767</v>
      </c>
      <c r="K367">
        <f t="shared" ca="1" si="30"/>
        <v>90</v>
      </c>
      <c r="L367">
        <f t="shared" ca="1" si="31"/>
        <v>1</v>
      </c>
      <c r="M367" t="str">
        <f t="shared" ca="1" si="32"/>
        <v>High</v>
      </c>
      <c r="N367">
        <f t="shared" ca="1" si="33"/>
        <v>90</v>
      </c>
      <c r="O367">
        <f t="shared" ca="1" si="34"/>
        <v>36</v>
      </c>
      <c r="P367">
        <f t="shared" ca="1" si="35"/>
        <v>21825.39</v>
      </c>
    </row>
    <row r="368" spans="1:16" x14ac:dyDescent="0.3">
      <c r="A368" t="s">
        <v>649</v>
      </c>
      <c r="B368" t="s">
        <v>650</v>
      </c>
      <c r="C368" t="s">
        <v>54</v>
      </c>
      <c r="D368" t="s">
        <v>22</v>
      </c>
      <c r="E368" s="1">
        <v>46034</v>
      </c>
      <c r="F368">
        <v>85051.11</v>
      </c>
      <c r="G368">
        <v>17.71</v>
      </c>
      <c r="H368">
        <v>36</v>
      </c>
      <c r="I368" t="s">
        <v>27</v>
      </c>
      <c r="J368">
        <v>0</v>
      </c>
      <c r="K368">
        <f t="shared" ca="1" si="30"/>
        <v>30</v>
      </c>
      <c r="L368">
        <f t="shared" ca="1" si="31"/>
        <v>0</v>
      </c>
      <c r="M368" t="str">
        <f t="shared" ca="1" si="32"/>
        <v>Medium</v>
      </c>
      <c r="N368">
        <f t="shared" ca="1" si="33"/>
        <v>1.8</v>
      </c>
      <c r="O368">
        <f t="shared" ca="1" si="34"/>
        <v>0</v>
      </c>
      <c r="P368">
        <f t="shared" ca="1" si="35"/>
        <v>107164.3986</v>
      </c>
    </row>
    <row r="369" spans="1:16" x14ac:dyDescent="0.3">
      <c r="A369" t="s">
        <v>651</v>
      </c>
      <c r="B369" t="s">
        <v>652</v>
      </c>
      <c r="C369" t="s">
        <v>39</v>
      </c>
      <c r="D369" t="s">
        <v>18</v>
      </c>
      <c r="E369" s="1">
        <v>45541</v>
      </c>
      <c r="F369">
        <v>32041.26</v>
      </c>
      <c r="G369">
        <v>15.02</v>
      </c>
      <c r="H369">
        <v>72</v>
      </c>
      <c r="I369" t="s">
        <v>19</v>
      </c>
      <c r="J369">
        <v>0</v>
      </c>
      <c r="K369">
        <f t="shared" ca="1" si="30"/>
        <v>0</v>
      </c>
      <c r="L369">
        <f t="shared" ca="1" si="31"/>
        <v>0</v>
      </c>
      <c r="M369" t="str">
        <f t="shared" ca="1" si="32"/>
        <v>Low</v>
      </c>
      <c r="N369">
        <f t="shared" ca="1" si="33"/>
        <v>0.72</v>
      </c>
      <c r="O369">
        <f t="shared" ca="1" si="34"/>
        <v>0</v>
      </c>
      <c r="P369">
        <f t="shared" ca="1" si="35"/>
        <v>0</v>
      </c>
    </row>
    <row r="370" spans="1:16" x14ac:dyDescent="0.3">
      <c r="A370" t="s">
        <v>653</v>
      </c>
      <c r="B370" t="s">
        <v>185</v>
      </c>
      <c r="C370" t="s">
        <v>54</v>
      </c>
      <c r="D370" t="s">
        <v>22</v>
      </c>
      <c r="E370" s="1">
        <v>45531</v>
      </c>
      <c r="F370">
        <v>68361.89</v>
      </c>
      <c r="G370">
        <v>14.52</v>
      </c>
      <c r="H370">
        <v>240</v>
      </c>
      <c r="I370" t="s">
        <v>27</v>
      </c>
      <c r="J370">
        <v>0</v>
      </c>
      <c r="K370">
        <f t="shared" ca="1" si="30"/>
        <v>30</v>
      </c>
      <c r="L370">
        <f t="shared" ca="1" si="31"/>
        <v>0</v>
      </c>
      <c r="M370" t="str">
        <f t="shared" ca="1" si="32"/>
        <v>Medium</v>
      </c>
      <c r="N370">
        <f t="shared" ca="1" si="33"/>
        <v>12</v>
      </c>
      <c r="O370">
        <f t="shared" ca="1" si="34"/>
        <v>0</v>
      </c>
      <c r="P370">
        <f t="shared" ca="1" si="35"/>
        <v>53322.2742</v>
      </c>
    </row>
    <row r="371" spans="1:16" x14ac:dyDescent="0.3">
      <c r="A371" t="s">
        <v>654</v>
      </c>
      <c r="B371" t="s">
        <v>152</v>
      </c>
      <c r="C371" t="s">
        <v>12</v>
      </c>
      <c r="D371" t="s">
        <v>26</v>
      </c>
      <c r="E371" s="1">
        <v>45774</v>
      </c>
      <c r="F371">
        <v>27700.74</v>
      </c>
      <c r="G371">
        <v>13.48</v>
      </c>
      <c r="H371">
        <v>72</v>
      </c>
      <c r="I371" t="s">
        <v>14</v>
      </c>
      <c r="J371">
        <v>22715</v>
      </c>
      <c r="K371">
        <f t="shared" ca="1" si="30"/>
        <v>45</v>
      </c>
      <c r="L371">
        <f t="shared" ca="1" si="31"/>
        <v>0</v>
      </c>
      <c r="M371" t="str">
        <f t="shared" ca="1" si="32"/>
        <v>Medium</v>
      </c>
      <c r="N371">
        <f t="shared" ca="1" si="33"/>
        <v>3.6</v>
      </c>
      <c r="O371">
        <f t="shared" ca="1" si="34"/>
        <v>0</v>
      </c>
      <c r="P371">
        <f t="shared" ca="1" si="35"/>
        <v>26038.695599999999</v>
      </c>
    </row>
    <row r="372" spans="1:16" x14ac:dyDescent="0.3">
      <c r="A372" t="s">
        <v>655</v>
      </c>
      <c r="B372" t="s">
        <v>238</v>
      </c>
      <c r="C372" t="s">
        <v>12</v>
      </c>
      <c r="D372" t="s">
        <v>75</v>
      </c>
      <c r="E372" s="1">
        <v>45431</v>
      </c>
      <c r="F372">
        <v>18880.91</v>
      </c>
      <c r="G372">
        <v>7.2</v>
      </c>
      <c r="H372">
        <v>72</v>
      </c>
      <c r="I372" t="s">
        <v>14</v>
      </c>
      <c r="J372">
        <v>7364</v>
      </c>
      <c r="K372">
        <f t="shared" ca="1" si="30"/>
        <v>120</v>
      </c>
      <c r="L372">
        <f t="shared" ca="1" si="31"/>
        <v>1</v>
      </c>
      <c r="M372" t="str">
        <f t="shared" ca="1" si="32"/>
        <v>High</v>
      </c>
      <c r="N372">
        <f t="shared" ca="1" si="33"/>
        <v>18</v>
      </c>
      <c r="O372">
        <f t="shared" ca="1" si="34"/>
        <v>4.32</v>
      </c>
      <c r="P372">
        <f t="shared" ca="1" si="35"/>
        <v>15104.728000000001</v>
      </c>
    </row>
    <row r="373" spans="1:16" x14ac:dyDescent="0.3">
      <c r="A373" t="s">
        <v>656</v>
      </c>
      <c r="B373" t="s">
        <v>657</v>
      </c>
      <c r="C373" t="s">
        <v>36</v>
      </c>
      <c r="D373" t="s">
        <v>75</v>
      </c>
      <c r="E373" s="1">
        <v>45379</v>
      </c>
      <c r="F373">
        <v>40663.89</v>
      </c>
      <c r="G373">
        <v>19.72</v>
      </c>
      <c r="H373">
        <v>36</v>
      </c>
      <c r="I373" t="s">
        <v>27</v>
      </c>
      <c r="J373">
        <v>0</v>
      </c>
      <c r="K373">
        <f t="shared" ca="1" si="30"/>
        <v>90</v>
      </c>
      <c r="L373">
        <f t="shared" ca="1" si="31"/>
        <v>1</v>
      </c>
      <c r="M373" t="str">
        <f t="shared" ca="1" si="32"/>
        <v>High</v>
      </c>
      <c r="N373">
        <f t="shared" ca="1" si="33"/>
        <v>9</v>
      </c>
      <c r="O373">
        <f t="shared" ca="1" si="34"/>
        <v>10.44</v>
      </c>
      <c r="P373">
        <f t="shared" ca="1" si="35"/>
        <v>35784.2232</v>
      </c>
    </row>
    <row r="374" spans="1:16" x14ac:dyDescent="0.3">
      <c r="A374" t="s">
        <v>658</v>
      </c>
      <c r="B374" t="s">
        <v>659</v>
      </c>
      <c r="C374" t="s">
        <v>17</v>
      </c>
      <c r="D374" t="s">
        <v>75</v>
      </c>
      <c r="E374" s="1">
        <v>45625</v>
      </c>
      <c r="F374">
        <v>1983.61</v>
      </c>
      <c r="G374">
        <v>7.75</v>
      </c>
      <c r="H374">
        <v>360</v>
      </c>
      <c r="I374" t="s">
        <v>14</v>
      </c>
      <c r="J374">
        <v>833</v>
      </c>
      <c r="K374">
        <f t="shared" ca="1" si="30"/>
        <v>0</v>
      </c>
      <c r="L374">
        <f t="shared" ca="1" si="31"/>
        <v>0</v>
      </c>
      <c r="M374" t="str">
        <f t="shared" ca="1" si="32"/>
        <v>Low</v>
      </c>
      <c r="N374">
        <f t="shared" ca="1" si="33"/>
        <v>3.6</v>
      </c>
      <c r="O374">
        <f t="shared" ca="1" si="34"/>
        <v>0</v>
      </c>
      <c r="P374">
        <f t="shared" ca="1" si="35"/>
        <v>1448.0353</v>
      </c>
    </row>
    <row r="375" spans="1:16" x14ac:dyDescent="0.3">
      <c r="A375" t="s">
        <v>660</v>
      </c>
      <c r="B375" t="s">
        <v>661</v>
      </c>
      <c r="C375" t="s">
        <v>25</v>
      </c>
      <c r="D375" t="s">
        <v>75</v>
      </c>
      <c r="E375" s="1">
        <v>45855</v>
      </c>
      <c r="F375">
        <v>29611.3</v>
      </c>
      <c r="G375">
        <v>7.35</v>
      </c>
      <c r="H375">
        <v>60</v>
      </c>
      <c r="I375" t="s">
        <v>27</v>
      </c>
      <c r="J375">
        <v>0</v>
      </c>
      <c r="K375">
        <f t="shared" ca="1" si="30"/>
        <v>90</v>
      </c>
      <c r="L375">
        <f t="shared" ca="1" si="31"/>
        <v>1</v>
      </c>
      <c r="M375" t="str">
        <f t="shared" ca="1" si="32"/>
        <v>High</v>
      </c>
      <c r="N375">
        <f t="shared" ca="1" si="33"/>
        <v>15</v>
      </c>
      <c r="O375">
        <f t="shared" ca="1" si="34"/>
        <v>12.6</v>
      </c>
      <c r="P375">
        <f t="shared" ca="1" si="35"/>
        <v>28130.735000000001</v>
      </c>
    </row>
    <row r="376" spans="1:16" x14ac:dyDescent="0.3">
      <c r="A376" t="s">
        <v>662</v>
      </c>
      <c r="B376" t="s">
        <v>643</v>
      </c>
      <c r="C376" t="s">
        <v>25</v>
      </c>
      <c r="D376" t="s">
        <v>22</v>
      </c>
      <c r="E376" s="1">
        <v>45764</v>
      </c>
      <c r="F376">
        <v>80854.53</v>
      </c>
      <c r="G376">
        <v>18.77</v>
      </c>
      <c r="H376">
        <v>12</v>
      </c>
      <c r="I376" t="s">
        <v>14</v>
      </c>
      <c r="J376">
        <v>59832</v>
      </c>
      <c r="K376">
        <f t="shared" ca="1" si="30"/>
        <v>120</v>
      </c>
      <c r="L376">
        <f t="shared" ca="1" si="31"/>
        <v>1</v>
      </c>
      <c r="M376" t="str">
        <f t="shared" ca="1" si="32"/>
        <v>High</v>
      </c>
      <c r="N376">
        <f t="shared" ca="1" si="33"/>
        <v>3</v>
      </c>
      <c r="O376">
        <f t="shared" ca="1" si="34"/>
        <v>0.96</v>
      </c>
      <c r="P376">
        <f t="shared" ca="1" si="35"/>
        <v>101068.16250000001</v>
      </c>
    </row>
    <row r="377" spans="1:16" x14ac:dyDescent="0.3">
      <c r="A377" t="s">
        <v>663</v>
      </c>
      <c r="B377" t="s">
        <v>438</v>
      </c>
      <c r="C377" t="s">
        <v>123</v>
      </c>
      <c r="D377" t="s">
        <v>30</v>
      </c>
      <c r="E377" s="1">
        <v>45308</v>
      </c>
      <c r="F377">
        <v>6078.56</v>
      </c>
      <c r="G377">
        <v>11.58</v>
      </c>
      <c r="H377">
        <v>60</v>
      </c>
      <c r="I377" t="s">
        <v>14</v>
      </c>
      <c r="J377">
        <v>3769</v>
      </c>
      <c r="K377">
        <f t="shared" ca="1" si="30"/>
        <v>0</v>
      </c>
      <c r="L377">
        <f t="shared" ca="1" si="31"/>
        <v>0</v>
      </c>
      <c r="M377" t="str">
        <f t="shared" ca="1" si="32"/>
        <v>Low</v>
      </c>
      <c r="N377">
        <f t="shared" ca="1" si="33"/>
        <v>0.6</v>
      </c>
      <c r="O377">
        <f t="shared" ca="1" si="34"/>
        <v>0</v>
      </c>
      <c r="P377">
        <f t="shared" ca="1" si="35"/>
        <v>0</v>
      </c>
    </row>
    <row r="378" spans="1:16" x14ac:dyDescent="0.3">
      <c r="A378" t="s">
        <v>664</v>
      </c>
      <c r="B378" t="s">
        <v>198</v>
      </c>
      <c r="C378" t="s">
        <v>123</v>
      </c>
      <c r="D378" t="s">
        <v>30</v>
      </c>
      <c r="E378" s="1">
        <v>45705</v>
      </c>
      <c r="F378">
        <v>46623.47</v>
      </c>
      <c r="G378">
        <v>21.09</v>
      </c>
      <c r="H378">
        <v>36</v>
      </c>
      <c r="I378" t="s">
        <v>19</v>
      </c>
      <c r="J378">
        <v>0</v>
      </c>
      <c r="K378">
        <f t="shared" ca="1" si="30"/>
        <v>0</v>
      </c>
      <c r="L378">
        <f t="shared" ca="1" si="31"/>
        <v>0</v>
      </c>
      <c r="M378" t="str">
        <f t="shared" ca="1" si="32"/>
        <v>Low</v>
      </c>
      <c r="N378">
        <f t="shared" ca="1" si="33"/>
        <v>0.36</v>
      </c>
      <c r="O378">
        <f t="shared" ca="1" si="34"/>
        <v>0</v>
      </c>
      <c r="P378">
        <f t="shared" ca="1" si="35"/>
        <v>0</v>
      </c>
    </row>
    <row r="379" spans="1:16" x14ac:dyDescent="0.3">
      <c r="A379" t="s">
        <v>665</v>
      </c>
      <c r="B379" t="s">
        <v>371</v>
      </c>
      <c r="C379" t="s">
        <v>36</v>
      </c>
      <c r="D379" t="s">
        <v>26</v>
      </c>
      <c r="E379" s="1">
        <v>46026</v>
      </c>
      <c r="F379">
        <v>54554.43</v>
      </c>
      <c r="G379">
        <v>20.309999999999999</v>
      </c>
      <c r="H379">
        <v>24</v>
      </c>
      <c r="I379" t="s">
        <v>14</v>
      </c>
      <c r="J379">
        <v>37097</v>
      </c>
      <c r="K379">
        <f t="shared" ca="1" si="30"/>
        <v>60</v>
      </c>
      <c r="L379">
        <f t="shared" ca="1" si="31"/>
        <v>0</v>
      </c>
      <c r="M379" t="str">
        <f t="shared" ca="1" si="32"/>
        <v>Medium</v>
      </c>
      <c r="N379">
        <f t="shared" ca="1" si="33"/>
        <v>2.4000000000000004</v>
      </c>
      <c r="O379">
        <f t="shared" ca="1" si="34"/>
        <v>0</v>
      </c>
      <c r="P379">
        <f t="shared" ca="1" si="35"/>
        <v>63828.683099999995</v>
      </c>
    </row>
    <row r="380" spans="1:16" x14ac:dyDescent="0.3">
      <c r="A380" t="s">
        <v>666</v>
      </c>
      <c r="B380" t="s">
        <v>667</v>
      </c>
      <c r="C380" t="s">
        <v>54</v>
      </c>
      <c r="D380" t="s">
        <v>30</v>
      </c>
      <c r="E380" s="1">
        <v>45551</v>
      </c>
      <c r="F380">
        <v>33686.07</v>
      </c>
      <c r="G380">
        <v>20.36</v>
      </c>
      <c r="H380">
        <v>120</v>
      </c>
      <c r="I380" t="s">
        <v>27</v>
      </c>
      <c r="J380">
        <v>0</v>
      </c>
      <c r="K380">
        <f t="shared" ca="1" si="30"/>
        <v>60</v>
      </c>
      <c r="L380">
        <f t="shared" ca="1" si="31"/>
        <v>0</v>
      </c>
      <c r="M380" t="str">
        <f t="shared" ca="1" si="32"/>
        <v>Medium</v>
      </c>
      <c r="N380">
        <f t="shared" ca="1" si="33"/>
        <v>12</v>
      </c>
      <c r="O380">
        <f t="shared" ca="1" si="34"/>
        <v>0</v>
      </c>
      <c r="P380">
        <f t="shared" ca="1" si="35"/>
        <v>0</v>
      </c>
    </row>
    <row r="381" spans="1:16" x14ac:dyDescent="0.3">
      <c r="A381" t="s">
        <v>668</v>
      </c>
      <c r="B381" t="s">
        <v>669</v>
      </c>
      <c r="C381" t="s">
        <v>17</v>
      </c>
      <c r="D381" t="s">
        <v>75</v>
      </c>
      <c r="E381" s="1">
        <v>45372</v>
      </c>
      <c r="F381">
        <v>41782.269999999997</v>
      </c>
      <c r="G381">
        <v>21.23</v>
      </c>
      <c r="H381">
        <v>72</v>
      </c>
      <c r="I381" t="s">
        <v>14</v>
      </c>
      <c r="J381">
        <v>21727</v>
      </c>
      <c r="K381">
        <f t="shared" ca="1" si="30"/>
        <v>0</v>
      </c>
      <c r="L381">
        <f t="shared" ca="1" si="31"/>
        <v>0</v>
      </c>
      <c r="M381" t="str">
        <f t="shared" ca="1" si="32"/>
        <v>Low</v>
      </c>
      <c r="N381">
        <f t="shared" ca="1" si="33"/>
        <v>0.72</v>
      </c>
      <c r="O381">
        <f t="shared" ca="1" si="34"/>
        <v>0</v>
      </c>
      <c r="P381">
        <f t="shared" ca="1" si="35"/>
        <v>47631.787799999991</v>
      </c>
    </row>
    <row r="382" spans="1:16" x14ac:dyDescent="0.3">
      <c r="A382" t="s">
        <v>670</v>
      </c>
      <c r="B382" t="s">
        <v>504</v>
      </c>
      <c r="C382" t="s">
        <v>39</v>
      </c>
      <c r="D382" t="s">
        <v>75</v>
      </c>
      <c r="E382" s="1">
        <v>45900</v>
      </c>
      <c r="F382">
        <v>39445.26</v>
      </c>
      <c r="G382">
        <v>11.73</v>
      </c>
      <c r="H382">
        <v>12</v>
      </c>
      <c r="I382" t="s">
        <v>14</v>
      </c>
      <c r="J382">
        <v>26823</v>
      </c>
      <c r="K382">
        <f t="shared" ca="1" si="30"/>
        <v>0</v>
      </c>
      <c r="L382">
        <f t="shared" ca="1" si="31"/>
        <v>0</v>
      </c>
      <c r="M382" t="str">
        <f t="shared" ca="1" si="32"/>
        <v>Low</v>
      </c>
      <c r="N382">
        <f t="shared" ca="1" si="33"/>
        <v>0.12</v>
      </c>
      <c r="O382">
        <f t="shared" ca="1" si="34"/>
        <v>0</v>
      </c>
      <c r="P382">
        <f t="shared" ca="1" si="35"/>
        <v>33922.923600000002</v>
      </c>
    </row>
    <row r="383" spans="1:16" x14ac:dyDescent="0.3">
      <c r="A383" t="s">
        <v>671</v>
      </c>
      <c r="B383" t="s">
        <v>369</v>
      </c>
      <c r="C383" t="s">
        <v>17</v>
      </c>
      <c r="D383" t="s">
        <v>26</v>
      </c>
      <c r="E383" s="1">
        <v>45800</v>
      </c>
      <c r="F383">
        <v>16635.310000000001</v>
      </c>
      <c r="G383">
        <v>6.39</v>
      </c>
      <c r="H383">
        <v>180</v>
      </c>
      <c r="I383" t="s">
        <v>14</v>
      </c>
      <c r="J383">
        <v>9149</v>
      </c>
      <c r="K383">
        <f t="shared" ca="1" si="30"/>
        <v>30</v>
      </c>
      <c r="L383">
        <f t="shared" ca="1" si="31"/>
        <v>0</v>
      </c>
      <c r="M383" t="str">
        <f t="shared" ca="1" si="32"/>
        <v>Medium</v>
      </c>
      <c r="N383">
        <f t="shared" ca="1" si="33"/>
        <v>9</v>
      </c>
      <c r="O383">
        <f t="shared" ca="1" si="34"/>
        <v>0</v>
      </c>
      <c r="P383">
        <f t="shared" ca="1" si="35"/>
        <v>15969.897600000002</v>
      </c>
    </row>
    <row r="384" spans="1:16" x14ac:dyDescent="0.3">
      <c r="A384" t="s">
        <v>672</v>
      </c>
      <c r="B384" t="s">
        <v>242</v>
      </c>
      <c r="C384" t="s">
        <v>54</v>
      </c>
      <c r="D384" t="s">
        <v>26</v>
      </c>
      <c r="E384" s="1">
        <v>46176</v>
      </c>
      <c r="F384">
        <v>5375.87</v>
      </c>
      <c r="G384">
        <v>5.67</v>
      </c>
      <c r="H384">
        <v>360</v>
      </c>
      <c r="I384" t="s">
        <v>14</v>
      </c>
      <c r="J384">
        <v>2742</v>
      </c>
      <c r="K384">
        <f t="shared" ca="1" si="30"/>
        <v>90</v>
      </c>
      <c r="L384">
        <f t="shared" ca="1" si="31"/>
        <v>1</v>
      </c>
      <c r="M384" t="str">
        <f t="shared" ca="1" si="32"/>
        <v>High</v>
      </c>
      <c r="N384">
        <f t="shared" ca="1" si="33"/>
        <v>90</v>
      </c>
      <c r="O384">
        <f t="shared" ca="1" si="34"/>
        <v>43.2</v>
      </c>
      <c r="P384">
        <f t="shared" ca="1" si="35"/>
        <v>5537.1460999999999</v>
      </c>
    </row>
    <row r="385" spans="1:16" x14ac:dyDescent="0.3">
      <c r="A385" t="s">
        <v>673</v>
      </c>
      <c r="B385" t="s">
        <v>116</v>
      </c>
      <c r="C385" t="s">
        <v>70</v>
      </c>
      <c r="D385" t="s">
        <v>18</v>
      </c>
      <c r="E385" s="1">
        <v>46082</v>
      </c>
      <c r="F385">
        <v>69563.91</v>
      </c>
      <c r="G385">
        <v>4.9000000000000004</v>
      </c>
      <c r="H385">
        <v>60</v>
      </c>
      <c r="I385" t="s">
        <v>14</v>
      </c>
      <c r="J385">
        <v>66086</v>
      </c>
      <c r="K385">
        <f t="shared" ca="1" si="30"/>
        <v>0</v>
      </c>
      <c r="L385">
        <f t="shared" ca="1" si="31"/>
        <v>0</v>
      </c>
      <c r="M385" t="str">
        <f t="shared" ca="1" si="32"/>
        <v>Low</v>
      </c>
      <c r="N385">
        <f t="shared" ca="1" si="33"/>
        <v>0.6</v>
      </c>
      <c r="O385">
        <f t="shared" ca="1" si="34"/>
        <v>0</v>
      </c>
      <c r="P385">
        <f t="shared" ca="1" si="35"/>
        <v>0</v>
      </c>
    </row>
    <row r="386" spans="1:16" x14ac:dyDescent="0.3">
      <c r="A386" t="s">
        <v>674</v>
      </c>
      <c r="B386" t="s">
        <v>404</v>
      </c>
      <c r="C386" t="s">
        <v>123</v>
      </c>
      <c r="D386" t="s">
        <v>18</v>
      </c>
      <c r="E386" s="1">
        <v>45938</v>
      </c>
      <c r="F386">
        <v>93345.88</v>
      </c>
      <c r="G386">
        <v>11.3</v>
      </c>
      <c r="H386">
        <v>48</v>
      </c>
      <c r="I386" t="s">
        <v>14</v>
      </c>
      <c r="J386">
        <v>88679</v>
      </c>
      <c r="K386">
        <f t="shared" ca="1" si="30"/>
        <v>90</v>
      </c>
      <c r="L386">
        <f t="shared" ca="1" si="31"/>
        <v>1</v>
      </c>
      <c r="M386" t="str">
        <f t="shared" ca="1" si="32"/>
        <v>High</v>
      </c>
      <c r="N386">
        <f t="shared" ca="1" si="33"/>
        <v>12</v>
      </c>
      <c r="O386">
        <f t="shared" ca="1" si="34"/>
        <v>14.4</v>
      </c>
      <c r="P386">
        <f t="shared" ca="1" si="35"/>
        <v>0</v>
      </c>
    </row>
    <row r="387" spans="1:16" x14ac:dyDescent="0.3">
      <c r="A387" t="s">
        <v>675</v>
      </c>
      <c r="B387" t="s">
        <v>676</v>
      </c>
      <c r="C387" t="s">
        <v>25</v>
      </c>
      <c r="D387" t="s">
        <v>22</v>
      </c>
      <c r="E387" s="1">
        <v>45632</v>
      </c>
      <c r="F387">
        <v>58600.03</v>
      </c>
      <c r="G387">
        <v>11.09</v>
      </c>
      <c r="H387">
        <v>180</v>
      </c>
      <c r="I387" t="s">
        <v>14</v>
      </c>
      <c r="J387">
        <v>51568</v>
      </c>
      <c r="K387">
        <f t="shared" ref="K387:K450" ca="1" si="36">IF(I387="Paid Off",0,CHOOSE(RANDBETWEEN(1,10),0,0,0,0,15,30,45,60,90,120))</f>
        <v>0</v>
      </c>
      <c r="L387">
        <f t="shared" ref="L387:L450" ca="1" si="37">IF(K387&gt;=90,1,0)</f>
        <v>0</v>
      </c>
      <c r="M387" t="str">
        <f t="shared" ref="M387:M450" ca="1" si="38">IF(K387&gt;=90,"High",IF(K387&gt;=30,"Medium","Low"))</f>
        <v>Low</v>
      </c>
      <c r="N387">
        <f t="shared" ref="N387:N450" ca="1" si="39">IF(L387=1,H387*0.25,IF(K387&gt;=60,H387*0.1,IF(K387&gt;=30,H387*0.05,H387*0.01)))</f>
        <v>1.8</v>
      </c>
      <c r="O387">
        <f t="shared" ref="O387:O450" ca="1" si="40">IF(L387=1,H387*RANDBETWEEN(5,30)/100,0)</f>
        <v>0</v>
      </c>
      <c r="P387">
        <f t="shared" ref="P387:P450" ca="1" si="41">IF(OR(D387="P02",D387="P03",D387="P05"),F387*RANDBETWEEN(70,130)/100,0)</f>
        <v>65046.033300000003</v>
      </c>
    </row>
    <row r="388" spans="1:16" x14ac:dyDescent="0.3">
      <c r="A388" t="s">
        <v>677</v>
      </c>
      <c r="B388" t="s">
        <v>356</v>
      </c>
      <c r="C388" t="s">
        <v>33</v>
      </c>
      <c r="D388" t="s">
        <v>13</v>
      </c>
      <c r="E388" s="1">
        <v>45442</v>
      </c>
      <c r="F388">
        <v>90976.68</v>
      </c>
      <c r="G388">
        <v>21.08</v>
      </c>
      <c r="H388">
        <v>12</v>
      </c>
      <c r="I388" t="s">
        <v>27</v>
      </c>
      <c r="J388">
        <v>0</v>
      </c>
      <c r="K388">
        <f t="shared" ca="1" si="36"/>
        <v>120</v>
      </c>
      <c r="L388">
        <f t="shared" ca="1" si="37"/>
        <v>1</v>
      </c>
      <c r="M388" t="str">
        <f t="shared" ca="1" si="38"/>
        <v>High</v>
      </c>
      <c r="N388">
        <f t="shared" ca="1" si="39"/>
        <v>3</v>
      </c>
      <c r="O388">
        <f t="shared" ca="1" si="40"/>
        <v>1.2</v>
      </c>
      <c r="P388">
        <f t="shared" ca="1" si="41"/>
        <v>0</v>
      </c>
    </row>
    <row r="389" spans="1:16" x14ac:dyDescent="0.3">
      <c r="A389" t="s">
        <v>678</v>
      </c>
      <c r="B389" t="s">
        <v>385</v>
      </c>
      <c r="C389" t="s">
        <v>70</v>
      </c>
      <c r="D389" t="s">
        <v>22</v>
      </c>
      <c r="E389" s="1">
        <v>46019</v>
      </c>
      <c r="F389">
        <v>82433.16</v>
      </c>
      <c r="G389">
        <v>9.67</v>
      </c>
      <c r="H389">
        <v>36</v>
      </c>
      <c r="I389" t="s">
        <v>14</v>
      </c>
      <c r="J389">
        <v>29676</v>
      </c>
      <c r="K389">
        <f t="shared" ca="1" si="36"/>
        <v>0</v>
      </c>
      <c r="L389">
        <f t="shared" ca="1" si="37"/>
        <v>0</v>
      </c>
      <c r="M389" t="str">
        <f t="shared" ca="1" si="38"/>
        <v>Low</v>
      </c>
      <c r="N389">
        <f t="shared" ca="1" si="39"/>
        <v>0.36</v>
      </c>
      <c r="O389">
        <f t="shared" ca="1" si="40"/>
        <v>0</v>
      </c>
      <c r="P389">
        <f t="shared" ca="1" si="41"/>
        <v>73365.512400000007</v>
      </c>
    </row>
    <row r="390" spans="1:16" x14ac:dyDescent="0.3">
      <c r="A390" t="s">
        <v>679</v>
      </c>
      <c r="B390" t="s">
        <v>680</v>
      </c>
      <c r="C390" t="s">
        <v>39</v>
      </c>
      <c r="D390" t="s">
        <v>75</v>
      </c>
      <c r="E390" s="1">
        <v>46167</v>
      </c>
      <c r="F390">
        <v>15155.79</v>
      </c>
      <c r="G390">
        <v>4.5199999999999996</v>
      </c>
      <c r="H390">
        <v>180</v>
      </c>
      <c r="I390" t="s">
        <v>14</v>
      </c>
      <c r="J390">
        <v>7729</v>
      </c>
      <c r="K390">
        <f t="shared" ca="1" si="36"/>
        <v>15</v>
      </c>
      <c r="L390">
        <f t="shared" ca="1" si="37"/>
        <v>0</v>
      </c>
      <c r="M390" t="str">
        <f t="shared" ca="1" si="38"/>
        <v>Low</v>
      </c>
      <c r="N390">
        <f t="shared" ca="1" si="39"/>
        <v>1.8</v>
      </c>
      <c r="O390">
        <f t="shared" ca="1" si="40"/>
        <v>0</v>
      </c>
      <c r="P390">
        <f t="shared" ca="1" si="41"/>
        <v>15307.347900000001</v>
      </c>
    </row>
    <row r="391" spans="1:16" x14ac:dyDescent="0.3">
      <c r="A391" t="s">
        <v>681</v>
      </c>
      <c r="B391" t="s">
        <v>406</v>
      </c>
      <c r="C391" t="s">
        <v>54</v>
      </c>
      <c r="D391" t="s">
        <v>26</v>
      </c>
      <c r="E391" s="1">
        <v>46053</v>
      </c>
      <c r="F391">
        <v>67866.75</v>
      </c>
      <c r="G391">
        <v>5.25</v>
      </c>
      <c r="H391">
        <v>120</v>
      </c>
      <c r="I391" t="s">
        <v>14</v>
      </c>
      <c r="J391">
        <v>52257</v>
      </c>
      <c r="K391">
        <f t="shared" ca="1" si="36"/>
        <v>15</v>
      </c>
      <c r="L391">
        <f t="shared" ca="1" si="37"/>
        <v>0</v>
      </c>
      <c r="M391" t="str">
        <f t="shared" ca="1" si="38"/>
        <v>Low</v>
      </c>
      <c r="N391">
        <f t="shared" ca="1" si="39"/>
        <v>1.2</v>
      </c>
      <c r="O391">
        <f t="shared" ca="1" si="40"/>
        <v>0</v>
      </c>
      <c r="P391">
        <f t="shared" ca="1" si="41"/>
        <v>53614.732499999998</v>
      </c>
    </row>
    <row r="392" spans="1:16" x14ac:dyDescent="0.3">
      <c r="A392" t="s">
        <v>682</v>
      </c>
      <c r="B392" t="s">
        <v>683</v>
      </c>
      <c r="C392" t="s">
        <v>17</v>
      </c>
      <c r="D392" t="s">
        <v>13</v>
      </c>
      <c r="E392" s="1">
        <v>45943</v>
      </c>
      <c r="F392">
        <v>65480.76</v>
      </c>
      <c r="G392">
        <v>15.3</v>
      </c>
      <c r="H392">
        <v>84</v>
      </c>
      <c r="I392" t="s">
        <v>14</v>
      </c>
      <c r="J392">
        <v>42562</v>
      </c>
      <c r="K392">
        <f t="shared" ca="1" si="36"/>
        <v>0</v>
      </c>
      <c r="L392">
        <f t="shared" ca="1" si="37"/>
        <v>0</v>
      </c>
      <c r="M392" t="str">
        <f t="shared" ca="1" si="38"/>
        <v>Low</v>
      </c>
      <c r="N392">
        <f t="shared" ca="1" si="39"/>
        <v>0.84</v>
      </c>
      <c r="O392">
        <f t="shared" ca="1" si="40"/>
        <v>0</v>
      </c>
      <c r="P392">
        <f t="shared" ca="1" si="41"/>
        <v>0</v>
      </c>
    </row>
    <row r="393" spans="1:16" x14ac:dyDescent="0.3">
      <c r="A393" t="s">
        <v>684</v>
      </c>
      <c r="B393" t="s">
        <v>32</v>
      </c>
      <c r="C393" t="s">
        <v>33</v>
      </c>
      <c r="D393" t="s">
        <v>26</v>
      </c>
      <c r="E393" s="1">
        <v>45883</v>
      </c>
      <c r="F393">
        <v>35540.449999999997</v>
      </c>
      <c r="G393">
        <v>18.22</v>
      </c>
      <c r="H393">
        <v>48</v>
      </c>
      <c r="I393" t="s">
        <v>14</v>
      </c>
      <c r="J393">
        <v>28432</v>
      </c>
      <c r="K393">
        <f t="shared" ca="1" si="36"/>
        <v>0</v>
      </c>
      <c r="L393">
        <f t="shared" ca="1" si="37"/>
        <v>0</v>
      </c>
      <c r="M393" t="str">
        <f t="shared" ca="1" si="38"/>
        <v>Low</v>
      </c>
      <c r="N393">
        <f t="shared" ca="1" si="39"/>
        <v>0.48</v>
      </c>
      <c r="O393">
        <f t="shared" ca="1" si="40"/>
        <v>0</v>
      </c>
      <c r="P393">
        <f t="shared" ca="1" si="41"/>
        <v>24878.314999999999</v>
      </c>
    </row>
    <row r="394" spans="1:16" x14ac:dyDescent="0.3">
      <c r="A394" t="s">
        <v>685</v>
      </c>
      <c r="B394" t="s">
        <v>210</v>
      </c>
      <c r="C394" t="s">
        <v>25</v>
      </c>
      <c r="D394" t="s">
        <v>18</v>
      </c>
      <c r="E394" s="1">
        <v>45468</v>
      </c>
      <c r="F394">
        <v>39878.910000000003</v>
      </c>
      <c r="G394">
        <v>5.66</v>
      </c>
      <c r="H394">
        <v>120</v>
      </c>
      <c r="I394" t="s">
        <v>14</v>
      </c>
      <c r="J394">
        <v>19939</v>
      </c>
      <c r="K394">
        <f t="shared" ca="1" si="36"/>
        <v>120</v>
      </c>
      <c r="L394">
        <f t="shared" ca="1" si="37"/>
        <v>1</v>
      </c>
      <c r="M394" t="str">
        <f t="shared" ca="1" si="38"/>
        <v>High</v>
      </c>
      <c r="N394">
        <f t="shared" ca="1" si="39"/>
        <v>30</v>
      </c>
      <c r="O394">
        <f t="shared" ca="1" si="40"/>
        <v>12</v>
      </c>
      <c r="P394">
        <f t="shared" ca="1" si="41"/>
        <v>0</v>
      </c>
    </row>
    <row r="395" spans="1:16" x14ac:dyDescent="0.3">
      <c r="A395" t="s">
        <v>686</v>
      </c>
      <c r="B395" t="s">
        <v>687</v>
      </c>
      <c r="C395" t="s">
        <v>123</v>
      </c>
      <c r="D395" t="s">
        <v>13</v>
      </c>
      <c r="E395" s="1">
        <v>45604</v>
      </c>
      <c r="F395">
        <v>66135.83</v>
      </c>
      <c r="G395">
        <v>5.27</v>
      </c>
      <c r="H395">
        <v>360</v>
      </c>
      <c r="I395" t="s">
        <v>14</v>
      </c>
      <c r="J395">
        <v>41666</v>
      </c>
      <c r="K395">
        <f t="shared" ca="1" si="36"/>
        <v>0</v>
      </c>
      <c r="L395">
        <f t="shared" ca="1" si="37"/>
        <v>0</v>
      </c>
      <c r="M395" t="str">
        <f t="shared" ca="1" si="38"/>
        <v>Low</v>
      </c>
      <c r="N395">
        <f t="shared" ca="1" si="39"/>
        <v>3.6</v>
      </c>
      <c r="O395">
        <f t="shared" ca="1" si="40"/>
        <v>0</v>
      </c>
      <c r="P395">
        <f t="shared" ca="1" si="41"/>
        <v>0</v>
      </c>
    </row>
    <row r="396" spans="1:16" x14ac:dyDescent="0.3">
      <c r="A396" t="s">
        <v>688</v>
      </c>
      <c r="B396" t="s">
        <v>689</v>
      </c>
      <c r="C396" t="s">
        <v>54</v>
      </c>
      <c r="D396" t="s">
        <v>22</v>
      </c>
      <c r="E396" s="1">
        <v>45625</v>
      </c>
      <c r="F396">
        <v>7381.5</v>
      </c>
      <c r="G396">
        <v>6.78</v>
      </c>
      <c r="H396">
        <v>180</v>
      </c>
      <c r="I396" t="s">
        <v>19</v>
      </c>
      <c r="J396">
        <v>0</v>
      </c>
      <c r="K396">
        <f t="shared" ca="1" si="36"/>
        <v>0</v>
      </c>
      <c r="L396">
        <f t="shared" ca="1" si="37"/>
        <v>0</v>
      </c>
      <c r="M396" t="str">
        <f t="shared" ca="1" si="38"/>
        <v>Low</v>
      </c>
      <c r="N396">
        <f t="shared" ca="1" si="39"/>
        <v>1.8</v>
      </c>
      <c r="O396">
        <f t="shared" ca="1" si="40"/>
        <v>0</v>
      </c>
      <c r="P396">
        <f t="shared" ca="1" si="41"/>
        <v>6495.72</v>
      </c>
    </row>
    <row r="397" spans="1:16" x14ac:dyDescent="0.3">
      <c r="A397" t="s">
        <v>690</v>
      </c>
      <c r="B397" t="s">
        <v>691</v>
      </c>
      <c r="C397" t="s">
        <v>33</v>
      </c>
      <c r="D397" t="s">
        <v>30</v>
      </c>
      <c r="E397" s="1">
        <v>45922</v>
      </c>
      <c r="F397">
        <v>53221.51</v>
      </c>
      <c r="G397">
        <v>11.97</v>
      </c>
      <c r="H397">
        <v>360</v>
      </c>
      <c r="I397" t="s">
        <v>14</v>
      </c>
      <c r="J397">
        <v>26079</v>
      </c>
      <c r="K397">
        <f t="shared" ca="1" si="36"/>
        <v>15</v>
      </c>
      <c r="L397">
        <f t="shared" ca="1" si="37"/>
        <v>0</v>
      </c>
      <c r="M397" t="str">
        <f t="shared" ca="1" si="38"/>
        <v>Low</v>
      </c>
      <c r="N397">
        <f t="shared" ca="1" si="39"/>
        <v>3.6</v>
      </c>
      <c r="O397">
        <f t="shared" ca="1" si="40"/>
        <v>0</v>
      </c>
      <c r="P397">
        <f t="shared" ca="1" si="41"/>
        <v>0</v>
      </c>
    </row>
    <row r="398" spans="1:16" x14ac:dyDescent="0.3">
      <c r="A398" t="s">
        <v>692</v>
      </c>
      <c r="B398" t="s">
        <v>206</v>
      </c>
      <c r="C398" t="s">
        <v>123</v>
      </c>
      <c r="D398" t="s">
        <v>30</v>
      </c>
      <c r="E398" s="1">
        <v>45840</v>
      </c>
      <c r="F398">
        <v>94900.67</v>
      </c>
      <c r="G398">
        <v>20.96</v>
      </c>
      <c r="H398">
        <v>180</v>
      </c>
      <c r="I398" t="s">
        <v>14</v>
      </c>
      <c r="J398">
        <v>57889</v>
      </c>
      <c r="K398">
        <f t="shared" ca="1" si="36"/>
        <v>15</v>
      </c>
      <c r="L398">
        <f t="shared" ca="1" si="37"/>
        <v>0</v>
      </c>
      <c r="M398" t="str">
        <f t="shared" ca="1" si="38"/>
        <v>Low</v>
      </c>
      <c r="N398">
        <f t="shared" ca="1" si="39"/>
        <v>1.8</v>
      </c>
      <c r="O398">
        <f t="shared" ca="1" si="40"/>
        <v>0</v>
      </c>
      <c r="P398">
        <f t="shared" ca="1" si="41"/>
        <v>0</v>
      </c>
    </row>
    <row r="399" spans="1:16" x14ac:dyDescent="0.3">
      <c r="A399" t="s">
        <v>693</v>
      </c>
      <c r="B399" t="s">
        <v>206</v>
      </c>
      <c r="C399" t="s">
        <v>70</v>
      </c>
      <c r="D399" t="s">
        <v>22</v>
      </c>
      <c r="E399" s="1">
        <v>45767</v>
      </c>
      <c r="F399">
        <v>76310.95</v>
      </c>
      <c r="G399">
        <v>10.79</v>
      </c>
      <c r="H399">
        <v>120</v>
      </c>
      <c r="I399" t="s">
        <v>14</v>
      </c>
      <c r="J399">
        <v>45787</v>
      </c>
      <c r="K399">
        <f t="shared" ca="1" si="36"/>
        <v>0</v>
      </c>
      <c r="L399">
        <f t="shared" ca="1" si="37"/>
        <v>0</v>
      </c>
      <c r="M399" t="str">
        <f t="shared" ca="1" si="38"/>
        <v>Low</v>
      </c>
      <c r="N399">
        <f t="shared" ca="1" si="39"/>
        <v>1.2</v>
      </c>
      <c r="O399">
        <f t="shared" ca="1" si="40"/>
        <v>0</v>
      </c>
      <c r="P399">
        <f t="shared" ca="1" si="41"/>
        <v>86994.482999999993</v>
      </c>
    </row>
    <row r="400" spans="1:16" x14ac:dyDescent="0.3">
      <c r="A400" t="s">
        <v>694</v>
      </c>
      <c r="B400" t="s">
        <v>159</v>
      </c>
      <c r="C400" t="s">
        <v>12</v>
      </c>
      <c r="D400" t="s">
        <v>18</v>
      </c>
      <c r="E400" s="1">
        <v>45485</v>
      </c>
      <c r="F400">
        <v>72747.3</v>
      </c>
      <c r="G400">
        <v>9.8800000000000008</v>
      </c>
      <c r="H400">
        <v>36</v>
      </c>
      <c r="I400" t="s">
        <v>14</v>
      </c>
      <c r="J400">
        <v>26189</v>
      </c>
      <c r="K400">
        <f t="shared" ca="1" si="36"/>
        <v>60</v>
      </c>
      <c r="L400">
        <f t="shared" ca="1" si="37"/>
        <v>0</v>
      </c>
      <c r="M400" t="str">
        <f t="shared" ca="1" si="38"/>
        <v>Medium</v>
      </c>
      <c r="N400">
        <f t="shared" ca="1" si="39"/>
        <v>3.6</v>
      </c>
      <c r="O400">
        <f t="shared" ca="1" si="40"/>
        <v>0</v>
      </c>
      <c r="P400">
        <f t="shared" ca="1" si="41"/>
        <v>0</v>
      </c>
    </row>
    <row r="401" spans="1:16" x14ac:dyDescent="0.3">
      <c r="A401" t="s">
        <v>695</v>
      </c>
      <c r="B401" t="s">
        <v>469</v>
      </c>
      <c r="C401" t="s">
        <v>25</v>
      </c>
      <c r="D401" t="s">
        <v>13</v>
      </c>
      <c r="E401" s="1">
        <v>45668</v>
      </c>
      <c r="F401">
        <v>75509.259999999995</v>
      </c>
      <c r="G401">
        <v>17.91</v>
      </c>
      <c r="H401">
        <v>240</v>
      </c>
      <c r="I401" t="s">
        <v>14</v>
      </c>
      <c r="J401">
        <v>31714</v>
      </c>
      <c r="K401">
        <f t="shared" ca="1" si="36"/>
        <v>90</v>
      </c>
      <c r="L401">
        <f t="shared" ca="1" si="37"/>
        <v>1</v>
      </c>
      <c r="M401" t="str">
        <f t="shared" ca="1" si="38"/>
        <v>High</v>
      </c>
      <c r="N401">
        <f t="shared" ca="1" si="39"/>
        <v>60</v>
      </c>
      <c r="O401">
        <f t="shared" ca="1" si="40"/>
        <v>36</v>
      </c>
      <c r="P401">
        <f t="shared" ca="1" si="41"/>
        <v>0</v>
      </c>
    </row>
    <row r="402" spans="1:16" x14ac:dyDescent="0.3">
      <c r="A402" t="s">
        <v>696</v>
      </c>
      <c r="B402" t="s">
        <v>50</v>
      </c>
      <c r="C402" t="s">
        <v>70</v>
      </c>
      <c r="D402" t="s">
        <v>22</v>
      </c>
      <c r="E402" s="1">
        <v>45550</v>
      </c>
      <c r="F402">
        <v>25486.26</v>
      </c>
      <c r="G402">
        <v>6.87</v>
      </c>
      <c r="H402">
        <v>180</v>
      </c>
      <c r="I402" t="s">
        <v>14</v>
      </c>
      <c r="J402">
        <v>10449</v>
      </c>
      <c r="K402">
        <f t="shared" ca="1" si="36"/>
        <v>120</v>
      </c>
      <c r="L402">
        <f t="shared" ca="1" si="37"/>
        <v>1</v>
      </c>
      <c r="M402" t="str">
        <f t="shared" ca="1" si="38"/>
        <v>High</v>
      </c>
      <c r="N402">
        <f t="shared" ca="1" si="39"/>
        <v>45</v>
      </c>
      <c r="O402">
        <f t="shared" ca="1" si="40"/>
        <v>19.8</v>
      </c>
      <c r="P402">
        <f t="shared" ca="1" si="41"/>
        <v>29818.924199999998</v>
      </c>
    </row>
    <row r="403" spans="1:16" x14ac:dyDescent="0.3">
      <c r="A403" t="s">
        <v>697</v>
      </c>
      <c r="B403" t="s">
        <v>298</v>
      </c>
      <c r="C403" t="s">
        <v>54</v>
      </c>
      <c r="D403" t="s">
        <v>22</v>
      </c>
      <c r="E403" s="1">
        <v>45753</v>
      </c>
      <c r="F403">
        <v>91930.5</v>
      </c>
      <c r="G403">
        <v>15.04</v>
      </c>
      <c r="H403">
        <v>48</v>
      </c>
      <c r="I403" t="s">
        <v>14</v>
      </c>
      <c r="J403">
        <v>61593</v>
      </c>
      <c r="K403">
        <f t="shared" ca="1" si="36"/>
        <v>30</v>
      </c>
      <c r="L403">
        <f t="shared" ca="1" si="37"/>
        <v>0</v>
      </c>
      <c r="M403" t="str">
        <f t="shared" ca="1" si="38"/>
        <v>Medium</v>
      </c>
      <c r="N403">
        <f t="shared" ca="1" si="39"/>
        <v>2.4000000000000004</v>
      </c>
      <c r="O403">
        <f t="shared" ca="1" si="40"/>
        <v>0</v>
      </c>
      <c r="P403">
        <f t="shared" ca="1" si="41"/>
        <v>93769.11</v>
      </c>
    </row>
    <row r="404" spans="1:16" x14ac:dyDescent="0.3">
      <c r="A404" t="s">
        <v>698</v>
      </c>
      <c r="B404" t="s">
        <v>114</v>
      </c>
      <c r="C404" t="s">
        <v>54</v>
      </c>
      <c r="D404" t="s">
        <v>26</v>
      </c>
      <c r="E404" s="1">
        <v>45869</v>
      </c>
      <c r="F404">
        <v>28384.21</v>
      </c>
      <c r="G404">
        <v>4.79</v>
      </c>
      <c r="H404">
        <v>360</v>
      </c>
      <c r="I404" t="s">
        <v>14</v>
      </c>
      <c r="J404">
        <v>21004</v>
      </c>
      <c r="K404">
        <f t="shared" ca="1" si="36"/>
        <v>0</v>
      </c>
      <c r="L404">
        <f t="shared" ca="1" si="37"/>
        <v>0</v>
      </c>
      <c r="M404" t="str">
        <f t="shared" ca="1" si="38"/>
        <v>Low</v>
      </c>
      <c r="N404">
        <f t="shared" ca="1" si="39"/>
        <v>3.6</v>
      </c>
      <c r="O404">
        <f t="shared" ca="1" si="40"/>
        <v>0</v>
      </c>
      <c r="P404">
        <f t="shared" ca="1" si="41"/>
        <v>31506.473099999999</v>
      </c>
    </row>
    <row r="405" spans="1:16" x14ac:dyDescent="0.3">
      <c r="A405" t="s">
        <v>699</v>
      </c>
      <c r="B405" t="s">
        <v>501</v>
      </c>
      <c r="C405" t="s">
        <v>123</v>
      </c>
      <c r="D405" t="s">
        <v>26</v>
      </c>
      <c r="E405" s="1">
        <v>45521</v>
      </c>
      <c r="F405">
        <v>79337.98</v>
      </c>
      <c r="G405">
        <v>7.1</v>
      </c>
      <c r="H405">
        <v>180</v>
      </c>
      <c r="I405" t="s">
        <v>14</v>
      </c>
      <c r="J405">
        <v>60297</v>
      </c>
      <c r="K405">
        <f t="shared" ca="1" si="36"/>
        <v>45</v>
      </c>
      <c r="L405">
        <f t="shared" ca="1" si="37"/>
        <v>0</v>
      </c>
      <c r="M405" t="str">
        <f t="shared" ca="1" si="38"/>
        <v>Medium</v>
      </c>
      <c r="N405">
        <f t="shared" ca="1" si="39"/>
        <v>9</v>
      </c>
      <c r="O405">
        <f t="shared" ca="1" si="40"/>
        <v>0</v>
      </c>
      <c r="P405">
        <f t="shared" ca="1" si="41"/>
        <v>92825.436600000001</v>
      </c>
    </row>
    <row r="406" spans="1:16" x14ac:dyDescent="0.3">
      <c r="A406" t="s">
        <v>700</v>
      </c>
      <c r="B406" t="s">
        <v>515</v>
      </c>
      <c r="C406" t="s">
        <v>12</v>
      </c>
      <c r="D406" t="s">
        <v>26</v>
      </c>
      <c r="E406" s="1">
        <v>45591</v>
      </c>
      <c r="F406">
        <v>43856.22</v>
      </c>
      <c r="G406">
        <v>18.34</v>
      </c>
      <c r="H406">
        <v>180</v>
      </c>
      <c r="I406" t="s">
        <v>27</v>
      </c>
      <c r="J406">
        <v>0</v>
      </c>
      <c r="K406">
        <f t="shared" ca="1" si="36"/>
        <v>0</v>
      </c>
      <c r="L406">
        <f t="shared" ca="1" si="37"/>
        <v>0</v>
      </c>
      <c r="M406" t="str">
        <f t="shared" ca="1" si="38"/>
        <v>Low</v>
      </c>
      <c r="N406">
        <f t="shared" ca="1" si="39"/>
        <v>1.8</v>
      </c>
      <c r="O406">
        <f t="shared" ca="1" si="40"/>
        <v>0</v>
      </c>
      <c r="P406">
        <f t="shared" ca="1" si="41"/>
        <v>37277.787000000004</v>
      </c>
    </row>
    <row r="407" spans="1:16" x14ac:dyDescent="0.3">
      <c r="A407" t="s">
        <v>701</v>
      </c>
      <c r="B407" t="s">
        <v>702</v>
      </c>
      <c r="C407" t="s">
        <v>51</v>
      </c>
      <c r="D407" t="s">
        <v>26</v>
      </c>
      <c r="E407" s="1">
        <v>45936</v>
      </c>
      <c r="F407">
        <v>45626.36</v>
      </c>
      <c r="G407">
        <v>5.6</v>
      </c>
      <c r="H407">
        <v>24</v>
      </c>
      <c r="I407" t="s">
        <v>19</v>
      </c>
      <c r="J407">
        <v>0</v>
      </c>
      <c r="K407">
        <f t="shared" ca="1" si="36"/>
        <v>0</v>
      </c>
      <c r="L407">
        <f t="shared" ca="1" si="37"/>
        <v>0</v>
      </c>
      <c r="M407" t="str">
        <f t="shared" ca="1" si="38"/>
        <v>Low</v>
      </c>
      <c r="N407">
        <f t="shared" ca="1" si="39"/>
        <v>0.24</v>
      </c>
      <c r="O407">
        <f t="shared" ca="1" si="40"/>
        <v>0</v>
      </c>
      <c r="P407">
        <f t="shared" ca="1" si="41"/>
        <v>47451.414400000001</v>
      </c>
    </row>
    <row r="408" spans="1:16" x14ac:dyDescent="0.3">
      <c r="A408" t="s">
        <v>703</v>
      </c>
      <c r="B408" t="s">
        <v>704</v>
      </c>
      <c r="C408" t="s">
        <v>70</v>
      </c>
      <c r="D408" t="s">
        <v>13</v>
      </c>
      <c r="E408" s="1">
        <v>45908</v>
      </c>
      <c r="F408">
        <v>50220.98</v>
      </c>
      <c r="G408">
        <v>7.09</v>
      </c>
      <c r="H408">
        <v>84</v>
      </c>
      <c r="I408" t="s">
        <v>14</v>
      </c>
      <c r="J408">
        <v>45701</v>
      </c>
      <c r="K408">
        <f t="shared" ca="1" si="36"/>
        <v>45</v>
      </c>
      <c r="L408">
        <f t="shared" ca="1" si="37"/>
        <v>0</v>
      </c>
      <c r="M408" t="str">
        <f t="shared" ca="1" si="38"/>
        <v>Medium</v>
      </c>
      <c r="N408">
        <f t="shared" ca="1" si="39"/>
        <v>4.2</v>
      </c>
      <c r="O408">
        <f t="shared" ca="1" si="40"/>
        <v>0</v>
      </c>
      <c r="P408">
        <f t="shared" ca="1" si="41"/>
        <v>0</v>
      </c>
    </row>
    <row r="409" spans="1:16" x14ac:dyDescent="0.3">
      <c r="A409" t="s">
        <v>705</v>
      </c>
      <c r="B409" t="s">
        <v>667</v>
      </c>
      <c r="C409" t="s">
        <v>39</v>
      </c>
      <c r="D409" t="s">
        <v>18</v>
      </c>
      <c r="E409" s="1">
        <v>46183</v>
      </c>
      <c r="F409">
        <v>8542.42</v>
      </c>
      <c r="G409">
        <v>17.010000000000002</v>
      </c>
      <c r="H409">
        <v>12</v>
      </c>
      <c r="I409" t="s">
        <v>14</v>
      </c>
      <c r="J409">
        <v>4442</v>
      </c>
      <c r="K409">
        <f t="shared" ca="1" si="36"/>
        <v>30</v>
      </c>
      <c r="L409">
        <f t="shared" ca="1" si="37"/>
        <v>0</v>
      </c>
      <c r="M409" t="str">
        <f t="shared" ca="1" si="38"/>
        <v>Medium</v>
      </c>
      <c r="N409">
        <f t="shared" ca="1" si="39"/>
        <v>0.60000000000000009</v>
      </c>
      <c r="O409">
        <f t="shared" ca="1" si="40"/>
        <v>0</v>
      </c>
      <c r="P409">
        <f t="shared" ca="1" si="41"/>
        <v>0</v>
      </c>
    </row>
    <row r="410" spans="1:16" x14ac:dyDescent="0.3">
      <c r="A410" t="s">
        <v>706</v>
      </c>
      <c r="B410" t="s">
        <v>540</v>
      </c>
      <c r="C410" t="s">
        <v>51</v>
      </c>
      <c r="D410" t="s">
        <v>26</v>
      </c>
      <c r="E410" s="1">
        <v>45499</v>
      </c>
      <c r="F410">
        <v>81140.7</v>
      </c>
      <c r="G410">
        <v>7.07</v>
      </c>
      <c r="H410">
        <v>120</v>
      </c>
      <c r="I410" t="s">
        <v>27</v>
      </c>
      <c r="J410">
        <v>0</v>
      </c>
      <c r="K410">
        <f t="shared" ca="1" si="36"/>
        <v>0</v>
      </c>
      <c r="L410">
        <f t="shared" ca="1" si="37"/>
        <v>0</v>
      </c>
      <c r="M410" t="str">
        <f t="shared" ca="1" si="38"/>
        <v>Low</v>
      </c>
      <c r="N410">
        <f t="shared" ca="1" si="39"/>
        <v>1.2</v>
      </c>
      <c r="O410">
        <f t="shared" ca="1" si="40"/>
        <v>0</v>
      </c>
      <c r="P410">
        <f t="shared" ca="1" si="41"/>
        <v>75460.850999999995</v>
      </c>
    </row>
    <row r="411" spans="1:16" x14ac:dyDescent="0.3">
      <c r="A411" t="s">
        <v>707</v>
      </c>
      <c r="B411" t="s">
        <v>409</v>
      </c>
      <c r="C411" t="s">
        <v>123</v>
      </c>
      <c r="D411" t="s">
        <v>13</v>
      </c>
      <c r="E411" s="1">
        <v>46060</v>
      </c>
      <c r="F411">
        <v>55881.31</v>
      </c>
      <c r="G411">
        <v>16.96</v>
      </c>
      <c r="H411">
        <v>24</v>
      </c>
      <c r="I411" t="s">
        <v>27</v>
      </c>
      <c r="J411">
        <v>0</v>
      </c>
      <c r="K411">
        <f t="shared" ca="1" si="36"/>
        <v>90</v>
      </c>
      <c r="L411">
        <f t="shared" ca="1" si="37"/>
        <v>1</v>
      </c>
      <c r="M411" t="str">
        <f t="shared" ca="1" si="38"/>
        <v>High</v>
      </c>
      <c r="N411">
        <f t="shared" ca="1" si="39"/>
        <v>6</v>
      </c>
      <c r="O411">
        <f t="shared" ca="1" si="40"/>
        <v>6.24</v>
      </c>
      <c r="P411">
        <f t="shared" ca="1" si="41"/>
        <v>0</v>
      </c>
    </row>
    <row r="412" spans="1:16" x14ac:dyDescent="0.3">
      <c r="A412" t="s">
        <v>708</v>
      </c>
      <c r="B412" t="s">
        <v>130</v>
      </c>
      <c r="C412" t="s">
        <v>17</v>
      </c>
      <c r="D412" t="s">
        <v>18</v>
      </c>
      <c r="E412" s="1">
        <v>45949</v>
      </c>
      <c r="F412">
        <v>1329.57</v>
      </c>
      <c r="G412">
        <v>6.19</v>
      </c>
      <c r="H412">
        <v>36</v>
      </c>
      <c r="I412" t="s">
        <v>14</v>
      </c>
      <c r="J412">
        <v>971</v>
      </c>
      <c r="K412">
        <f t="shared" ca="1" si="36"/>
        <v>45</v>
      </c>
      <c r="L412">
        <f t="shared" ca="1" si="37"/>
        <v>0</v>
      </c>
      <c r="M412" t="str">
        <f t="shared" ca="1" si="38"/>
        <v>Medium</v>
      </c>
      <c r="N412">
        <f t="shared" ca="1" si="39"/>
        <v>1.8</v>
      </c>
      <c r="O412">
        <f t="shared" ca="1" si="40"/>
        <v>0</v>
      </c>
      <c r="P412">
        <f t="shared" ca="1" si="41"/>
        <v>0</v>
      </c>
    </row>
    <row r="413" spans="1:16" x14ac:dyDescent="0.3">
      <c r="A413" t="s">
        <v>709</v>
      </c>
      <c r="B413" t="s">
        <v>300</v>
      </c>
      <c r="C413" t="s">
        <v>123</v>
      </c>
      <c r="D413" t="s">
        <v>30</v>
      </c>
      <c r="E413" s="1">
        <v>46142</v>
      </c>
      <c r="F413">
        <v>14379.82</v>
      </c>
      <c r="G413">
        <v>19.940000000000001</v>
      </c>
      <c r="H413">
        <v>48</v>
      </c>
      <c r="I413" t="s">
        <v>27</v>
      </c>
      <c r="J413">
        <v>0</v>
      </c>
      <c r="K413">
        <f t="shared" ca="1" si="36"/>
        <v>90</v>
      </c>
      <c r="L413">
        <f t="shared" ca="1" si="37"/>
        <v>1</v>
      </c>
      <c r="M413" t="str">
        <f t="shared" ca="1" si="38"/>
        <v>High</v>
      </c>
      <c r="N413">
        <f t="shared" ca="1" si="39"/>
        <v>12</v>
      </c>
      <c r="O413">
        <f t="shared" ca="1" si="40"/>
        <v>5.76</v>
      </c>
      <c r="P413">
        <f t="shared" ca="1" si="41"/>
        <v>0</v>
      </c>
    </row>
    <row r="414" spans="1:16" x14ac:dyDescent="0.3">
      <c r="A414" t="s">
        <v>710</v>
      </c>
      <c r="B414" t="s">
        <v>711</v>
      </c>
      <c r="C414" t="s">
        <v>54</v>
      </c>
      <c r="D414" t="s">
        <v>30</v>
      </c>
      <c r="E414" s="1">
        <v>45353</v>
      </c>
      <c r="F414">
        <v>20543.16</v>
      </c>
      <c r="G414">
        <v>17.920000000000002</v>
      </c>
      <c r="H414">
        <v>60</v>
      </c>
      <c r="I414" t="s">
        <v>14</v>
      </c>
      <c r="J414">
        <v>9655</v>
      </c>
      <c r="K414">
        <f t="shared" ca="1" si="36"/>
        <v>15</v>
      </c>
      <c r="L414">
        <f t="shared" ca="1" si="37"/>
        <v>0</v>
      </c>
      <c r="M414" t="str">
        <f t="shared" ca="1" si="38"/>
        <v>Low</v>
      </c>
      <c r="N414">
        <f t="shared" ca="1" si="39"/>
        <v>0.6</v>
      </c>
      <c r="O414">
        <f t="shared" ca="1" si="40"/>
        <v>0</v>
      </c>
      <c r="P414">
        <f t="shared" ca="1" si="41"/>
        <v>0</v>
      </c>
    </row>
    <row r="415" spans="1:16" x14ac:dyDescent="0.3">
      <c r="A415" t="s">
        <v>712</v>
      </c>
      <c r="B415" t="s">
        <v>713</v>
      </c>
      <c r="C415" t="s">
        <v>12</v>
      </c>
      <c r="D415" t="s">
        <v>22</v>
      </c>
      <c r="E415" s="1">
        <v>45538</v>
      </c>
      <c r="F415">
        <v>48216.27</v>
      </c>
      <c r="G415">
        <v>17</v>
      </c>
      <c r="H415">
        <v>240</v>
      </c>
      <c r="I415" t="s">
        <v>14</v>
      </c>
      <c r="J415">
        <v>25072</v>
      </c>
      <c r="K415">
        <f t="shared" ca="1" si="36"/>
        <v>15</v>
      </c>
      <c r="L415">
        <f t="shared" ca="1" si="37"/>
        <v>0</v>
      </c>
      <c r="M415" t="str">
        <f t="shared" ca="1" si="38"/>
        <v>Low</v>
      </c>
      <c r="N415">
        <f t="shared" ca="1" si="39"/>
        <v>2.4</v>
      </c>
      <c r="O415">
        <f t="shared" ca="1" si="40"/>
        <v>0</v>
      </c>
      <c r="P415">
        <f t="shared" ca="1" si="41"/>
        <v>40019.504099999998</v>
      </c>
    </row>
    <row r="416" spans="1:16" x14ac:dyDescent="0.3">
      <c r="A416" t="s">
        <v>714</v>
      </c>
      <c r="B416" t="s">
        <v>715</v>
      </c>
      <c r="C416" t="s">
        <v>33</v>
      </c>
      <c r="D416" t="s">
        <v>18</v>
      </c>
      <c r="E416" s="1">
        <v>46068</v>
      </c>
      <c r="F416">
        <v>53055.41</v>
      </c>
      <c r="G416">
        <v>10.74</v>
      </c>
      <c r="H416">
        <v>180</v>
      </c>
      <c r="I416" t="s">
        <v>27</v>
      </c>
      <c r="J416">
        <v>0</v>
      </c>
      <c r="K416">
        <f t="shared" ca="1" si="36"/>
        <v>60</v>
      </c>
      <c r="L416">
        <f t="shared" ca="1" si="37"/>
        <v>0</v>
      </c>
      <c r="M416" t="str">
        <f t="shared" ca="1" si="38"/>
        <v>Medium</v>
      </c>
      <c r="N416">
        <f t="shared" ca="1" si="39"/>
        <v>18</v>
      </c>
      <c r="O416">
        <f t="shared" ca="1" si="40"/>
        <v>0</v>
      </c>
      <c r="P416">
        <f t="shared" ca="1" si="41"/>
        <v>0</v>
      </c>
    </row>
    <row r="417" spans="1:16" x14ac:dyDescent="0.3">
      <c r="A417" t="s">
        <v>716</v>
      </c>
      <c r="B417" t="s">
        <v>717</v>
      </c>
      <c r="C417" t="s">
        <v>36</v>
      </c>
      <c r="D417" t="s">
        <v>26</v>
      </c>
      <c r="E417" s="1">
        <v>45377</v>
      </c>
      <c r="F417">
        <v>28766.86</v>
      </c>
      <c r="G417">
        <v>8.39</v>
      </c>
      <c r="H417">
        <v>12</v>
      </c>
      <c r="I417" t="s">
        <v>27</v>
      </c>
      <c r="J417">
        <v>0</v>
      </c>
      <c r="K417">
        <f t="shared" ca="1" si="36"/>
        <v>0</v>
      </c>
      <c r="L417">
        <f t="shared" ca="1" si="37"/>
        <v>0</v>
      </c>
      <c r="M417" t="str">
        <f t="shared" ca="1" si="38"/>
        <v>Low</v>
      </c>
      <c r="N417">
        <f t="shared" ca="1" si="39"/>
        <v>0.12</v>
      </c>
      <c r="O417">
        <f t="shared" ca="1" si="40"/>
        <v>0</v>
      </c>
      <c r="P417">
        <f t="shared" ca="1" si="41"/>
        <v>29629.8658</v>
      </c>
    </row>
    <row r="418" spans="1:16" x14ac:dyDescent="0.3">
      <c r="A418" t="s">
        <v>718</v>
      </c>
      <c r="B418" t="s">
        <v>640</v>
      </c>
      <c r="C418" t="s">
        <v>39</v>
      </c>
      <c r="D418" t="s">
        <v>13</v>
      </c>
      <c r="E418" s="1">
        <v>45742</v>
      </c>
      <c r="F418">
        <v>76882.759999999995</v>
      </c>
      <c r="G418">
        <v>20.28</v>
      </c>
      <c r="H418">
        <v>60</v>
      </c>
      <c r="I418" t="s">
        <v>14</v>
      </c>
      <c r="J418">
        <v>61506</v>
      </c>
      <c r="K418">
        <f t="shared" ca="1" si="36"/>
        <v>90</v>
      </c>
      <c r="L418">
        <f t="shared" ca="1" si="37"/>
        <v>1</v>
      </c>
      <c r="M418" t="str">
        <f t="shared" ca="1" si="38"/>
        <v>High</v>
      </c>
      <c r="N418">
        <f t="shared" ca="1" si="39"/>
        <v>15</v>
      </c>
      <c r="O418">
        <f t="shared" ca="1" si="40"/>
        <v>3</v>
      </c>
      <c r="P418">
        <f t="shared" ca="1" si="41"/>
        <v>0</v>
      </c>
    </row>
    <row r="419" spans="1:16" x14ac:dyDescent="0.3">
      <c r="A419" t="s">
        <v>719</v>
      </c>
      <c r="B419" t="s">
        <v>661</v>
      </c>
      <c r="C419" t="s">
        <v>70</v>
      </c>
      <c r="D419" t="s">
        <v>26</v>
      </c>
      <c r="E419" s="1">
        <v>45601</v>
      </c>
      <c r="F419">
        <v>84523.8</v>
      </c>
      <c r="G419">
        <v>16.809999999999999</v>
      </c>
      <c r="H419">
        <v>48</v>
      </c>
      <c r="I419" t="s">
        <v>14</v>
      </c>
      <c r="J419">
        <v>51560</v>
      </c>
      <c r="K419">
        <f t="shared" ca="1" si="36"/>
        <v>120</v>
      </c>
      <c r="L419">
        <f t="shared" ca="1" si="37"/>
        <v>1</v>
      </c>
      <c r="M419" t="str">
        <f t="shared" ca="1" si="38"/>
        <v>High</v>
      </c>
      <c r="N419">
        <f t="shared" ca="1" si="39"/>
        <v>12</v>
      </c>
      <c r="O419">
        <f t="shared" ca="1" si="40"/>
        <v>13.44</v>
      </c>
      <c r="P419">
        <f t="shared" ca="1" si="41"/>
        <v>89595.228000000003</v>
      </c>
    </row>
    <row r="420" spans="1:16" x14ac:dyDescent="0.3">
      <c r="A420" t="s">
        <v>720</v>
      </c>
      <c r="B420" t="s">
        <v>721</v>
      </c>
      <c r="C420" t="s">
        <v>51</v>
      </c>
      <c r="D420" t="s">
        <v>22</v>
      </c>
      <c r="E420" s="1">
        <v>46012</v>
      </c>
      <c r="F420">
        <v>75602.740000000005</v>
      </c>
      <c r="G420">
        <v>12.93</v>
      </c>
      <c r="H420">
        <v>72</v>
      </c>
      <c r="I420" t="s">
        <v>14</v>
      </c>
      <c r="J420">
        <v>32509</v>
      </c>
      <c r="K420">
        <f t="shared" ca="1" si="36"/>
        <v>30</v>
      </c>
      <c r="L420">
        <f t="shared" ca="1" si="37"/>
        <v>0</v>
      </c>
      <c r="M420" t="str">
        <f t="shared" ca="1" si="38"/>
        <v>Medium</v>
      </c>
      <c r="N420">
        <f t="shared" ca="1" si="39"/>
        <v>3.6</v>
      </c>
      <c r="O420">
        <f t="shared" ca="1" si="40"/>
        <v>0</v>
      </c>
      <c r="P420">
        <f t="shared" ca="1" si="41"/>
        <v>73334.657800000001</v>
      </c>
    </row>
    <row r="421" spans="1:16" x14ac:dyDescent="0.3">
      <c r="A421" t="s">
        <v>722</v>
      </c>
      <c r="B421" t="s">
        <v>723</v>
      </c>
      <c r="C421" t="s">
        <v>36</v>
      </c>
      <c r="D421" t="s">
        <v>18</v>
      </c>
      <c r="E421" s="1">
        <v>46170</v>
      </c>
      <c r="F421">
        <v>2593.77</v>
      </c>
      <c r="G421">
        <v>5.61</v>
      </c>
      <c r="H421">
        <v>120</v>
      </c>
      <c r="I421" t="s">
        <v>14</v>
      </c>
      <c r="J421">
        <v>1193</v>
      </c>
      <c r="K421">
        <f t="shared" ca="1" si="36"/>
        <v>0</v>
      </c>
      <c r="L421">
        <f t="shared" ca="1" si="37"/>
        <v>0</v>
      </c>
      <c r="M421" t="str">
        <f t="shared" ca="1" si="38"/>
        <v>Low</v>
      </c>
      <c r="N421">
        <f t="shared" ca="1" si="39"/>
        <v>1.2</v>
      </c>
      <c r="O421">
        <f t="shared" ca="1" si="40"/>
        <v>0</v>
      </c>
      <c r="P421">
        <f t="shared" ca="1" si="41"/>
        <v>0</v>
      </c>
    </row>
    <row r="422" spans="1:16" x14ac:dyDescent="0.3">
      <c r="A422" t="s">
        <v>724</v>
      </c>
      <c r="B422" t="s">
        <v>114</v>
      </c>
      <c r="C422" t="s">
        <v>36</v>
      </c>
      <c r="D422" t="s">
        <v>26</v>
      </c>
      <c r="E422" s="1">
        <v>45711</v>
      </c>
      <c r="F422">
        <v>14518.56</v>
      </c>
      <c r="G422">
        <v>8.3000000000000007</v>
      </c>
      <c r="H422">
        <v>24</v>
      </c>
      <c r="I422" t="s">
        <v>27</v>
      </c>
      <c r="J422">
        <v>0</v>
      </c>
      <c r="K422">
        <f t="shared" ca="1" si="36"/>
        <v>0</v>
      </c>
      <c r="L422">
        <f t="shared" ca="1" si="37"/>
        <v>0</v>
      </c>
      <c r="M422" t="str">
        <f t="shared" ca="1" si="38"/>
        <v>Low</v>
      </c>
      <c r="N422">
        <f t="shared" ca="1" si="39"/>
        <v>0.24</v>
      </c>
      <c r="O422">
        <f t="shared" ca="1" si="40"/>
        <v>0</v>
      </c>
      <c r="P422">
        <f t="shared" ca="1" si="41"/>
        <v>17422.272000000001</v>
      </c>
    </row>
    <row r="423" spans="1:16" x14ac:dyDescent="0.3">
      <c r="A423" t="s">
        <v>725</v>
      </c>
      <c r="B423" t="s">
        <v>726</v>
      </c>
      <c r="C423" t="s">
        <v>36</v>
      </c>
      <c r="D423" t="s">
        <v>30</v>
      </c>
      <c r="E423" s="1">
        <v>46145</v>
      </c>
      <c r="F423">
        <v>99439.37</v>
      </c>
      <c r="G423">
        <v>14.75</v>
      </c>
      <c r="H423">
        <v>24</v>
      </c>
      <c r="I423" t="s">
        <v>27</v>
      </c>
      <c r="J423">
        <v>0</v>
      </c>
      <c r="K423">
        <f t="shared" ca="1" si="36"/>
        <v>15</v>
      </c>
      <c r="L423">
        <f t="shared" ca="1" si="37"/>
        <v>0</v>
      </c>
      <c r="M423" t="str">
        <f t="shared" ca="1" si="38"/>
        <v>Low</v>
      </c>
      <c r="N423">
        <f t="shared" ca="1" si="39"/>
        <v>0.24</v>
      </c>
      <c r="O423">
        <f t="shared" ca="1" si="40"/>
        <v>0</v>
      </c>
      <c r="P423">
        <f t="shared" ca="1" si="41"/>
        <v>0</v>
      </c>
    </row>
    <row r="424" spans="1:16" x14ac:dyDescent="0.3">
      <c r="A424" t="s">
        <v>727</v>
      </c>
      <c r="B424" t="s">
        <v>728</v>
      </c>
      <c r="C424" t="s">
        <v>39</v>
      </c>
      <c r="D424" t="s">
        <v>26</v>
      </c>
      <c r="E424" s="1">
        <v>45304</v>
      </c>
      <c r="F424">
        <v>86188.26</v>
      </c>
      <c r="G424">
        <v>18.84</v>
      </c>
      <c r="H424">
        <v>60</v>
      </c>
      <c r="I424" t="s">
        <v>14</v>
      </c>
      <c r="J424">
        <v>53437</v>
      </c>
      <c r="K424">
        <f t="shared" ca="1" si="36"/>
        <v>90</v>
      </c>
      <c r="L424">
        <f t="shared" ca="1" si="37"/>
        <v>1</v>
      </c>
      <c r="M424" t="str">
        <f t="shared" ca="1" si="38"/>
        <v>High</v>
      </c>
      <c r="N424">
        <f t="shared" ca="1" si="39"/>
        <v>15</v>
      </c>
      <c r="O424">
        <f t="shared" ca="1" si="40"/>
        <v>13.2</v>
      </c>
      <c r="P424">
        <f t="shared" ca="1" si="41"/>
        <v>95668.968599999993</v>
      </c>
    </row>
    <row r="425" spans="1:16" x14ac:dyDescent="0.3">
      <c r="A425" t="s">
        <v>729</v>
      </c>
      <c r="B425" t="s">
        <v>730</v>
      </c>
      <c r="C425" t="s">
        <v>51</v>
      </c>
      <c r="D425" t="s">
        <v>75</v>
      </c>
      <c r="E425" s="1">
        <v>46136</v>
      </c>
      <c r="F425">
        <v>8029.7</v>
      </c>
      <c r="G425">
        <v>4.3099999999999996</v>
      </c>
      <c r="H425">
        <v>24</v>
      </c>
      <c r="I425" t="s">
        <v>14</v>
      </c>
      <c r="J425">
        <v>6504</v>
      </c>
      <c r="K425">
        <f t="shared" ca="1" si="36"/>
        <v>30</v>
      </c>
      <c r="L425">
        <f t="shared" ca="1" si="37"/>
        <v>0</v>
      </c>
      <c r="M425" t="str">
        <f t="shared" ca="1" si="38"/>
        <v>Medium</v>
      </c>
      <c r="N425">
        <f t="shared" ca="1" si="39"/>
        <v>1.2000000000000002</v>
      </c>
      <c r="O425">
        <f t="shared" ca="1" si="40"/>
        <v>0</v>
      </c>
      <c r="P425">
        <f t="shared" ca="1" si="41"/>
        <v>8752.3729999999996</v>
      </c>
    </row>
    <row r="426" spans="1:16" x14ac:dyDescent="0.3">
      <c r="A426" t="s">
        <v>731</v>
      </c>
      <c r="B426" t="s">
        <v>732</v>
      </c>
      <c r="C426" t="s">
        <v>25</v>
      </c>
      <c r="D426" t="s">
        <v>13</v>
      </c>
      <c r="E426" s="1">
        <v>45316</v>
      </c>
      <c r="F426">
        <v>28951.03</v>
      </c>
      <c r="G426">
        <v>19.77</v>
      </c>
      <c r="H426">
        <v>72</v>
      </c>
      <c r="I426" t="s">
        <v>19</v>
      </c>
      <c r="J426">
        <v>0</v>
      </c>
      <c r="K426">
        <f t="shared" ca="1" si="36"/>
        <v>0</v>
      </c>
      <c r="L426">
        <f t="shared" ca="1" si="37"/>
        <v>0</v>
      </c>
      <c r="M426" t="str">
        <f t="shared" ca="1" si="38"/>
        <v>Low</v>
      </c>
      <c r="N426">
        <f t="shared" ca="1" si="39"/>
        <v>0.72</v>
      </c>
      <c r="O426">
        <f t="shared" ca="1" si="40"/>
        <v>0</v>
      </c>
      <c r="P426">
        <f t="shared" ca="1" si="41"/>
        <v>0</v>
      </c>
    </row>
    <row r="427" spans="1:16" x14ac:dyDescent="0.3">
      <c r="A427" t="s">
        <v>733</v>
      </c>
      <c r="B427" t="s">
        <v>734</v>
      </c>
      <c r="C427" t="s">
        <v>51</v>
      </c>
      <c r="D427" t="s">
        <v>18</v>
      </c>
      <c r="E427" s="1">
        <v>45678</v>
      </c>
      <c r="F427">
        <v>71981.38</v>
      </c>
      <c r="G427">
        <v>14.84</v>
      </c>
      <c r="H427">
        <v>12</v>
      </c>
      <c r="I427" t="s">
        <v>14</v>
      </c>
      <c r="J427">
        <v>53986</v>
      </c>
      <c r="K427">
        <f t="shared" ca="1" si="36"/>
        <v>0</v>
      </c>
      <c r="L427">
        <f t="shared" ca="1" si="37"/>
        <v>0</v>
      </c>
      <c r="M427" t="str">
        <f t="shared" ca="1" si="38"/>
        <v>Low</v>
      </c>
      <c r="N427">
        <f t="shared" ca="1" si="39"/>
        <v>0.12</v>
      </c>
      <c r="O427">
        <f t="shared" ca="1" si="40"/>
        <v>0</v>
      </c>
      <c r="P427">
        <f t="shared" ca="1" si="41"/>
        <v>0</v>
      </c>
    </row>
    <row r="428" spans="1:16" x14ac:dyDescent="0.3">
      <c r="A428" t="s">
        <v>735</v>
      </c>
      <c r="B428" t="s">
        <v>559</v>
      </c>
      <c r="C428" t="s">
        <v>25</v>
      </c>
      <c r="D428" t="s">
        <v>18</v>
      </c>
      <c r="E428" s="1">
        <v>45310</v>
      </c>
      <c r="F428">
        <v>98746.49</v>
      </c>
      <c r="G428">
        <v>7.75</v>
      </c>
      <c r="H428">
        <v>48</v>
      </c>
      <c r="I428" t="s">
        <v>14</v>
      </c>
      <c r="J428">
        <v>62210</v>
      </c>
      <c r="K428">
        <f t="shared" ca="1" si="36"/>
        <v>30</v>
      </c>
      <c r="L428">
        <f t="shared" ca="1" si="37"/>
        <v>0</v>
      </c>
      <c r="M428" t="str">
        <f t="shared" ca="1" si="38"/>
        <v>Medium</v>
      </c>
      <c r="N428">
        <f t="shared" ca="1" si="39"/>
        <v>2.4000000000000004</v>
      </c>
      <c r="O428">
        <f t="shared" ca="1" si="40"/>
        <v>0</v>
      </c>
      <c r="P428">
        <f t="shared" ca="1" si="41"/>
        <v>0</v>
      </c>
    </row>
    <row r="429" spans="1:16" x14ac:dyDescent="0.3">
      <c r="A429" t="s">
        <v>736</v>
      </c>
      <c r="B429" t="s">
        <v>138</v>
      </c>
      <c r="C429" t="s">
        <v>54</v>
      </c>
      <c r="D429" t="s">
        <v>26</v>
      </c>
      <c r="E429" s="1">
        <v>45357</v>
      </c>
      <c r="F429">
        <v>90453.05</v>
      </c>
      <c r="G429">
        <v>19.329999999999998</v>
      </c>
      <c r="H429">
        <v>180</v>
      </c>
      <c r="I429" t="s">
        <v>14</v>
      </c>
      <c r="J429">
        <v>81408</v>
      </c>
      <c r="K429">
        <f t="shared" ca="1" si="36"/>
        <v>30</v>
      </c>
      <c r="L429">
        <f t="shared" ca="1" si="37"/>
        <v>0</v>
      </c>
      <c r="M429" t="str">
        <f t="shared" ca="1" si="38"/>
        <v>Medium</v>
      </c>
      <c r="N429">
        <f t="shared" ca="1" si="39"/>
        <v>9</v>
      </c>
      <c r="O429">
        <f t="shared" ca="1" si="40"/>
        <v>0</v>
      </c>
      <c r="P429">
        <f t="shared" ca="1" si="41"/>
        <v>108543.66</v>
      </c>
    </row>
    <row r="430" spans="1:16" x14ac:dyDescent="0.3">
      <c r="A430" t="s">
        <v>737</v>
      </c>
      <c r="B430" t="s">
        <v>618</v>
      </c>
      <c r="C430" t="s">
        <v>70</v>
      </c>
      <c r="D430" t="s">
        <v>22</v>
      </c>
      <c r="E430" s="1">
        <v>45467</v>
      </c>
      <c r="F430">
        <v>31356.37</v>
      </c>
      <c r="G430">
        <v>11.51</v>
      </c>
      <c r="H430">
        <v>240</v>
      </c>
      <c r="I430" t="s">
        <v>14</v>
      </c>
      <c r="J430">
        <v>16619</v>
      </c>
      <c r="K430">
        <f t="shared" ca="1" si="36"/>
        <v>0</v>
      </c>
      <c r="L430">
        <f t="shared" ca="1" si="37"/>
        <v>0</v>
      </c>
      <c r="M430" t="str">
        <f t="shared" ca="1" si="38"/>
        <v>Low</v>
      </c>
      <c r="N430">
        <f t="shared" ca="1" si="39"/>
        <v>2.4</v>
      </c>
      <c r="O430">
        <f t="shared" ca="1" si="40"/>
        <v>0</v>
      </c>
      <c r="P430">
        <f t="shared" ca="1" si="41"/>
        <v>31042.8063</v>
      </c>
    </row>
    <row r="431" spans="1:16" x14ac:dyDescent="0.3">
      <c r="A431" t="s">
        <v>738</v>
      </c>
      <c r="B431" t="s">
        <v>739</v>
      </c>
      <c r="C431" t="s">
        <v>25</v>
      </c>
      <c r="D431" t="s">
        <v>75</v>
      </c>
      <c r="E431" s="1">
        <v>46055</v>
      </c>
      <c r="F431">
        <v>45430.09</v>
      </c>
      <c r="G431">
        <v>19.66</v>
      </c>
      <c r="H431">
        <v>180</v>
      </c>
      <c r="I431" t="s">
        <v>19</v>
      </c>
      <c r="J431">
        <v>0</v>
      </c>
      <c r="K431">
        <f t="shared" ca="1" si="36"/>
        <v>0</v>
      </c>
      <c r="L431">
        <f t="shared" ca="1" si="37"/>
        <v>0</v>
      </c>
      <c r="M431" t="str">
        <f t="shared" ca="1" si="38"/>
        <v>Low</v>
      </c>
      <c r="N431">
        <f t="shared" ca="1" si="39"/>
        <v>1.8</v>
      </c>
      <c r="O431">
        <f t="shared" ca="1" si="40"/>
        <v>0</v>
      </c>
      <c r="P431">
        <f t="shared" ca="1" si="41"/>
        <v>47701.594499999992</v>
      </c>
    </row>
    <row r="432" spans="1:16" x14ac:dyDescent="0.3">
      <c r="A432" t="s">
        <v>740</v>
      </c>
      <c r="B432" t="s">
        <v>125</v>
      </c>
      <c r="C432" t="s">
        <v>51</v>
      </c>
      <c r="D432" t="s">
        <v>18</v>
      </c>
      <c r="E432" s="1">
        <v>45318</v>
      </c>
      <c r="F432">
        <v>89897.17</v>
      </c>
      <c r="G432">
        <v>14.43</v>
      </c>
      <c r="H432">
        <v>84</v>
      </c>
      <c r="I432" t="s">
        <v>14</v>
      </c>
      <c r="J432">
        <v>36858</v>
      </c>
      <c r="K432">
        <f t="shared" ca="1" si="36"/>
        <v>0</v>
      </c>
      <c r="L432">
        <f t="shared" ca="1" si="37"/>
        <v>0</v>
      </c>
      <c r="M432" t="str">
        <f t="shared" ca="1" si="38"/>
        <v>Low</v>
      </c>
      <c r="N432">
        <f t="shared" ca="1" si="39"/>
        <v>0.84</v>
      </c>
      <c r="O432">
        <f t="shared" ca="1" si="40"/>
        <v>0</v>
      </c>
      <c r="P432">
        <f t="shared" ca="1" si="41"/>
        <v>0</v>
      </c>
    </row>
    <row r="433" spans="1:16" x14ac:dyDescent="0.3">
      <c r="A433" t="s">
        <v>741</v>
      </c>
      <c r="B433" t="s">
        <v>112</v>
      </c>
      <c r="C433" t="s">
        <v>33</v>
      </c>
      <c r="D433" t="s">
        <v>30</v>
      </c>
      <c r="E433" s="1">
        <v>45990</v>
      </c>
      <c r="F433">
        <v>51983.85</v>
      </c>
      <c r="G433">
        <v>16.59</v>
      </c>
      <c r="H433">
        <v>72</v>
      </c>
      <c r="I433" t="s">
        <v>14</v>
      </c>
      <c r="J433">
        <v>22353</v>
      </c>
      <c r="K433">
        <f t="shared" ca="1" si="36"/>
        <v>0</v>
      </c>
      <c r="L433">
        <f t="shared" ca="1" si="37"/>
        <v>0</v>
      </c>
      <c r="M433" t="str">
        <f t="shared" ca="1" si="38"/>
        <v>Low</v>
      </c>
      <c r="N433">
        <f t="shared" ca="1" si="39"/>
        <v>0.72</v>
      </c>
      <c r="O433">
        <f t="shared" ca="1" si="40"/>
        <v>0</v>
      </c>
      <c r="P433">
        <f t="shared" ca="1" si="41"/>
        <v>0</v>
      </c>
    </row>
    <row r="434" spans="1:16" x14ac:dyDescent="0.3">
      <c r="A434" t="s">
        <v>742</v>
      </c>
      <c r="B434" t="s">
        <v>183</v>
      </c>
      <c r="C434" t="s">
        <v>25</v>
      </c>
      <c r="D434" t="s">
        <v>26</v>
      </c>
      <c r="E434" s="1">
        <v>46119</v>
      </c>
      <c r="F434">
        <v>21244.16</v>
      </c>
      <c r="G434">
        <v>18.59</v>
      </c>
      <c r="H434">
        <v>60</v>
      </c>
      <c r="I434" t="s">
        <v>14</v>
      </c>
      <c r="J434">
        <v>18695</v>
      </c>
      <c r="K434">
        <f t="shared" ca="1" si="36"/>
        <v>60</v>
      </c>
      <c r="L434">
        <f t="shared" ca="1" si="37"/>
        <v>0</v>
      </c>
      <c r="M434" t="str">
        <f t="shared" ca="1" si="38"/>
        <v>Medium</v>
      </c>
      <c r="N434">
        <f t="shared" ca="1" si="39"/>
        <v>6</v>
      </c>
      <c r="O434">
        <f t="shared" ca="1" si="40"/>
        <v>0</v>
      </c>
      <c r="P434">
        <f t="shared" ca="1" si="41"/>
        <v>27192.524799999999</v>
      </c>
    </row>
    <row r="435" spans="1:16" x14ac:dyDescent="0.3">
      <c r="A435" t="s">
        <v>743</v>
      </c>
      <c r="B435" t="s">
        <v>306</v>
      </c>
      <c r="C435" t="s">
        <v>51</v>
      </c>
      <c r="D435" t="s">
        <v>26</v>
      </c>
      <c r="E435" s="1">
        <v>45391</v>
      </c>
      <c r="F435">
        <v>39139.61</v>
      </c>
      <c r="G435">
        <v>9.43</v>
      </c>
      <c r="H435">
        <v>120</v>
      </c>
      <c r="I435" t="s">
        <v>14</v>
      </c>
      <c r="J435">
        <v>17613</v>
      </c>
      <c r="K435">
        <f t="shared" ca="1" si="36"/>
        <v>15</v>
      </c>
      <c r="L435">
        <f t="shared" ca="1" si="37"/>
        <v>0</v>
      </c>
      <c r="M435" t="str">
        <f t="shared" ca="1" si="38"/>
        <v>Low</v>
      </c>
      <c r="N435">
        <f t="shared" ca="1" si="39"/>
        <v>1.2</v>
      </c>
      <c r="O435">
        <f t="shared" ca="1" si="40"/>
        <v>0</v>
      </c>
      <c r="P435">
        <f t="shared" ca="1" si="41"/>
        <v>40313.798300000002</v>
      </c>
    </row>
    <row r="436" spans="1:16" x14ac:dyDescent="0.3">
      <c r="A436" t="s">
        <v>744</v>
      </c>
      <c r="B436" t="s">
        <v>745</v>
      </c>
      <c r="C436" t="s">
        <v>54</v>
      </c>
      <c r="D436" t="s">
        <v>30</v>
      </c>
      <c r="E436" s="1">
        <v>45776</v>
      </c>
      <c r="F436">
        <v>71844.47</v>
      </c>
      <c r="G436">
        <v>16.260000000000002</v>
      </c>
      <c r="H436">
        <v>240</v>
      </c>
      <c r="I436" t="s">
        <v>14</v>
      </c>
      <c r="J436">
        <v>60349</v>
      </c>
      <c r="K436">
        <f t="shared" ca="1" si="36"/>
        <v>0</v>
      </c>
      <c r="L436">
        <f t="shared" ca="1" si="37"/>
        <v>0</v>
      </c>
      <c r="M436" t="str">
        <f t="shared" ca="1" si="38"/>
        <v>Low</v>
      </c>
      <c r="N436">
        <f t="shared" ca="1" si="39"/>
        <v>2.4</v>
      </c>
      <c r="O436">
        <f t="shared" ca="1" si="40"/>
        <v>0</v>
      </c>
      <c r="P436">
        <f t="shared" ca="1" si="41"/>
        <v>0</v>
      </c>
    </row>
    <row r="437" spans="1:16" x14ac:dyDescent="0.3">
      <c r="A437" t="s">
        <v>746</v>
      </c>
      <c r="B437" t="s">
        <v>747</v>
      </c>
      <c r="C437" t="s">
        <v>54</v>
      </c>
      <c r="D437" t="s">
        <v>75</v>
      </c>
      <c r="E437" s="1">
        <v>45973</v>
      </c>
      <c r="F437">
        <v>49137.02</v>
      </c>
      <c r="G437">
        <v>15.32</v>
      </c>
      <c r="H437">
        <v>240</v>
      </c>
      <c r="I437" t="s">
        <v>14</v>
      </c>
      <c r="J437">
        <v>42749</v>
      </c>
      <c r="K437">
        <f t="shared" ca="1" si="36"/>
        <v>45</v>
      </c>
      <c r="L437">
        <f t="shared" ca="1" si="37"/>
        <v>0</v>
      </c>
      <c r="M437" t="str">
        <f t="shared" ca="1" si="38"/>
        <v>Medium</v>
      </c>
      <c r="N437">
        <f t="shared" ca="1" si="39"/>
        <v>12</v>
      </c>
      <c r="O437">
        <f t="shared" ca="1" si="40"/>
        <v>0</v>
      </c>
      <c r="P437">
        <f t="shared" ca="1" si="41"/>
        <v>43731.947799999994</v>
      </c>
    </row>
    <row r="438" spans="1:16" x14ac:dyDescent="0.3">
      <c r="A438" t="s">
        <v>748</v>
      </c>
      <c r="B438" t="s">
        <v>491</v>
      </c>
      <c r="C438" t="s">
        <v>36</v>
      </c>
      <c r="D438" t="s">
        <v>75</v>
      </c>
      <c r="E438" s="1">
        <v>45822</v>
      </c>
      <c r="F438">
        <v>76670.41</v>
      </c>
      <c r="G438">
        <v>13.11</v>
      </c>
      <c r="H438">
        <v>72</v>
      </c>
      <c r="I438" t="s">
        <v>14</v>
      </c>
      <c r="J438">
        <v>26835</v>
      </c>
      <c r="K438">
        <f t="shared" ca="1" si="36"/>
        <v>120</v>
      </c>
      <c r="L438">
        <f t="shared" ca="1" si="37"/>
        <v>1</v>
      </c>
      <c r="M438" t="str">
        <f t="shared" ca="1" si="38"/>
        <v>High</v>
      </c>
      <c r="N438">
        <f t="shared" ca="1" si="39"/>
        <v>18</v>
      </c>
      <c r="O438">
        <f t="shared" ca="1" si="40"/>
        <v>17.28</v>
      </c>
      <c r="P438">
        <f t="shared" ca="1" si="41"/>
        <v>71303.481299999999</v>
      </c>
    </row>
    <row r="439" spans="1:16" x14ac:dyDescent="0.3">
      <c r="A439" t="s">
        <v>749</v>
      </c>
      <c r="B439" t="s">
        <v>750</v>
      </c>
      <c r="C439" t="s">
        <v>39</v>
      </c>
      <c r="D439" t="s">
        <v>26</v>
      </c>
      <c r="E439" s="1">
        <v>46132</v>
      </c>
      <c r="F439">
        <v>54220.78</v>
      </c>
      <c r="G439">
        <v>12.05</v>
      </c>
      <c r="H439">
        <v>24</v>
      </c>
      <c r="I439" t="s">
        <v>14</v>
      </c>
      <c r="J439">
        <v>34159</v>
      </c>
      <c r="K439">
        <f t="shared" ca="1" si="36"/>
        <v>120</v>
      </c>
      <c r="L439">
        <f t="shared" ca="1" si="37"/>
        <v>1</v>
      </c>
      <c r="M439" t="str">
        <f t="shared" ca="1" si="38"/>
        <v>High</v>
      </c>
      <c r="N439">
        <f t="shared" ca="1" si="39"/>
        <v>6</v>
      </c>
      <c r="O439">
        <f t="shared" ca="1" si="40"/>
        <v>1.68</v>
      </c>
      <c r="P439">
        <f t="shared" ca="1" si="41"/>
        <v>66149.351599999995</v>
      </c>
    </row>
    <row r="440" spans="1:16" x14ac:dyDescent="0.3">
      <c r="A440" t="s">
        <v>751</v>
      </c>
      <c r="B440" t="s">
        <v>752</v>
      </c>
      <c r="C440" t="s">
        <v>25</v>
      </c>
      <c r="D440" t="s">
        <v>22</v>
      </c>
      <c r="E440" s="1">
        <v>45924</v>
      </c>
      <c r="F440">
        <v>8189.09</v>
      </c>
      <c r="G440">
        <v>7.43</v>
      </c>
      <c r="H440">
        <v>360</v>
      </c>
      <c r="I440" t="s">
        <v>14</v>
      </c>
      <c r="J440">
        <v>6306</v>
      </c>
      <c r="K440">
        <f t="shared" ca="1" si="36"/>
        <v>0</v>
      </c>
      <c r="L440">
        <f t="shared" ca="1" si="37"/>
        <v>0</v>
      </c>
      <c r="M440" t="str">
        <f t="shared" ca="1" si="38"/>
        <v>Low</v>
      </c>
      <c r="N440">
        <f t="shared" ca="1" si="39"/>
        <v>3.6</v>
      </c>
      <c r="O440">
        <f t="shared" ca="1" si="40"/>
        <v>0</v>
      </c>
      <c r="P440">
        <f t="shared" ca="1" si="41"/>
        <v>6141.8175000000001</v>
      </c>
    </row>
    <row r="441" spans="1:16" x14ac:dyDescent="0.3">
      <c r="A441" t="s">
        <v>753</v>
      </c>
      <c r="B441" t="s">
        <v>434</v>
      </c>
      <c r="C441" t="s">
        <v>33</v>
      </c>
      <c r="D441" t="s">
        <v>26</v>
      </c>
      <c r="E441" s="1">
        <v>46142</v>
      </c>
      <c r="F441">
        <v>93774.9</v>
      </c>
      <c r="G441">
        <v>5.39</v>
      </c>
      <c r="H441">
        <v>24</v>
      </c>
      <c r="I441" t="s">
        <v>14</v>
      </c>
      <c r="J441">
        <v>40323</v>
      </c>
      <c r="K441">
        <f t="shared" ca="1" si="36"/>
        <v>0</v>
      </c>
      <c r="L441">
        <f t="shared" ca="1" si="37"/>
        <v>0</v>
      </c>
      <c r="M441" t="str">
        <f t="shared" ca="1" si="38"/>
        <v>Low</v>
      </c>
      <c r="N441">
        <f t="shared" ca="1" si="39"/>
        <v>0.24</v>
      </c>
      <c r="O441">
        <f t="shared" ca="1" si="40"/>
        <v>0</v>
      </c>
      <c r="P441">
        <f t="shared" ca="1" si="41"/>
        <v>76895.418000000005</v>
      </c>
    </row>
    <row r="442" spans="1:16" x14ac:dyDescent="0.3">
      <c r="A442" t="s">
        <v>754</v>
      </c>
      <c r="B442" t="s">
        <v>755</v>
      </c>
      <c r="C442" t="s">
        <v>17</v>
      </c>
      <c r="D442" t="s">
        <v>26</v>
      </c>
      <c r="E442" s="1">
        <v>46014</v>
      </c>
      <c r="F442">
        <v>52171.72</v>
      </c>
      <c r="G442">
        <v>4.5199999999999996</v>
      </c>
      <c r="H442">
        <v>36</v>
      </c>
      <c r="I442" t="s">
        <v>14</v>
      </c>
      <c r="J442">
        <v>46433</v>
      </c>
      <c r="K442">
        <f t="shared" ca="1" si="36"/>
        <v>0</v>
      </c>
      <c r="L442">
        <f t="shared" ca="1" si="37"/>
        <v>0</v>
      </c>
      <c r="M442" t="str">
        <f t="shared" ca="1" si="38"/>
        <v>Low</v>
      </c>
      <c r="N442">
        <f t="shared" ca="1" si="39"/>
        <v>0.36</v>
      </c>
      <c r="O442">
        <f t="shared" ca="1" si="40"/>
        <v>0</v>
      </c>
      <c r="P442">
        <f t="shared" ca="1" si="41"/>
        <v>45389.396399999998</v>
      </c>
    </row>
    <row r="443" spans="1:16" x14ac:dyDescent="0.3">
      <c r="A443" t="s">
        <v>756</v>
      </c>
      <c r="B443" t="s">
        <v>757</v>
      </c>
      <c r="C443" t="s">
        <v>17</v>
      </c>
      <c r="D443" t="s">
        <v>75</v>
      </c>
      <c r="E443" s="1">
        <v>45355</v>
      </c>
      <c r="F443">
        <v>84897.85</v>
      </c>
      <c r="G443">
        <v>6.66</v>
      </c>
      <c r="H443">
        <v>36</v>
      </c>
      <c r="I443" t="s">
        <v>14</v>
      </c>
      <c r="J443">
        <v>69616</v>
      </c>
      <c r="K443">
        <f t="shared" ca="1" si="36"/>
        <v>0</v>
      </c>
      <c r="L443">
        <f t="shared" ca="1" si="37"/>
        <v>0</v>
      </c>
      <c r="M443" t="str">
        <f t="shared" ca="1" si="38"/>
        <v>Low</v>
      </c>
      <c r="N443">
        <f t="shared" ca="1" si="39"/>
        <v>0.36</v>
      </c>
      <c r="O443">
        <f t="shared" ca="1" si="40"/>
        <v>0</v>
      </c>
      <c r="P443">
        <f t="shared" ca="1" si="41"/>
        <v>88293.76400000001</v>
      </c>
    </row>
    <row r="444" spans="1:16" x14ac:dyDescent="0.3">
      <c r="A444" t="s">
        <v>758</v>
      </c>
      <c r="B444" t="s">
        <v>358</v>
      </c>
      <c r="C444" t="s">
        <v>17</v>
      </c>
      <c r="D444" t="s">
        <v>18</v>
      </c>
      <c r="E444" s="1">
        <v>45353</v>
      </c>
      <c r="F444">
        <v>62165.760000000002</v>
      </c>
      <c r="G444">
        <v>13.29</v>
      </c>
      <c r="H444">
        <v>60</v>
      </c>
      <c r="I444" t="s">
        <v>14</v>
      </c>
      <c r="J444">
        <v>40408</v>
      </c>
      <c r="K444">
        <f t="shared" ca="1" si="36"/>
        <v>60</v>
      </c>
      <c r="L444">
        <f t="shared" ca="1" si="37"/>
        <v>0</v>
      </c>
      <c r="M444" t="str">
        <f t="shared" ca="1" si="38"/>
        <v>Medium</v>
      </c>
      <c r="N444">
        <f t="shared" ca="1" si="39"/>
        <v>6</v>
      </c>
      <c r="O444">
        <f t="shared" ca="1" si="40"/>
        <v>0</v>
      </c>
      <c r="P444">
        <f t="shared" ca="1" si="41"/>
        <v>0</v>
      </c>
    </row>
    <row r="445" spans="1:16" x14ac:dyDescent="0.3">
      <c r="A445" t="s">
        <v>759</v>
      </c>
      <c r="B445" t="s">
        <v>32</v>
      </c>
      <c r="C445" t="s">
        <v>51</v>
      </c>
      <c r="D445" t="s">
        <v>75</v>
      </c>
      <c r="E445" s="1">
        <v>45836</v>
      </c>
      <c r="F445">
        <v>78844.929999999993</v>
      </c>
      <c r="G445">
        <v>14.58</v>
      </c>
      <c r="H445">
        <v>84</v>
      </c>
      <c r="I445" t="s">
        <v>27</v>
      </c>
      <c r="J445">
        <v>0</v>
      </c>
      <c r="K445">
        <f t="shared" ca="1" si="36"/>
        <v>60</v>
      </c>
      <c r="L445">
        <f t="shared" ca="1" si="37"/>
        <v>0</v>
      </c>
      <c r="M445" t="str">
        <f t="shared" ca="1" si="38"/>
        <v>Medium</v>
      </c>
      <c r="N445">
        <f t="shared" ca="1" si="39"/>
        <v>8.4</v>
      </c>
      <c r="O445">
        <f t="shared" ca="1" si="40"/>
        <v>0</v>
      </c>
      <c r="P445">
        <f t="shared" ca="1" si="41"/>
        <v>67806.63979999999</v>
      </c>
    </row>
    <row r="446" spans="1:16" x14ac:dyDescent="0.3">
      <c r="A446" t="s">
        <v>760</v>
      </c>
      <c r="B446" t="s">
        <v>761</v>
      </c>
      <c r="C446" t="s">
        <v>39</v>
      </c>
      <c r="D446" t="s">
        <v>75</v>
      </c>
      <c r="E446" s="1">
        <v>45370</v>
      </c>
      <c r="F446">
        <v>55358.94</v>
      </c>
      <c r="G446">
        <v>7.51</v>
      </c>
      <c r="H446">
        <v>24</v>
      </c>
      <c r="I446" t="s">
        <v>14</v>
      </c>
      <c r="J446">
        <v>40412</v>
      </c>
      <c r="K446">
        <f t="shared" ca="1" si="36"/>
        <v>0</v>
      </c>
      <c r="L446">
        <f t="shared" ca="1" si="37"/>
        <v>0</v>
      </c>
      <c r="M446" t="str">
        <f t="shared" ca="1" si="38"/>
        <v>Low</v>
      </c>
      <c r="N446">
        <f t="shared" ca="1" si="39"/>
        <v>0.24</v>
      </c>
      <c r="O446">
        <f t="shared" ca="1" si="40"/>
        <v>0</v>
      </c>
      <c r="P446">
        <f t="shared" ca="1" si="41"/>
        <v>60894.834000000003</v>
      </c>
    </row>
    <row r="447" spans="1:16" x14ac:dyDescent="0.3">
      <c r="A447" t="s">
        <v>762</v>
      </c>
      <c r="B447" t="s">
        <v>652</v>
      </c>
      <c r="C447" t="s">
        <v>36</v>
      </c>
      <c r="D447" t="s">
        <v>30</v>
      </c>
      <c r="E447" s="1">
        <v>45380</v>
      </c>
      <c r="F447">
        <v>61188.95</v>
      </c>
      <c r="G447">
        <v>20.399999999999999</v>
      </c>
      <c r="H447">
        <v>24</v>
      </c>
      <c r="I447" t="s">
        <v>14</v>
      </c>
      <c r="J447">
        <v>29371</v>
      </c>
      <c r="K447">
        <f t="shared" ca="1" si="36"/>
        <v>0</v>
      </c>
      <c r="L447">
        <f t="shared" ca="1" si="37"/>
        <v>0</v>
      </c>
      <c r="M447" t="str">
        <f t="shared" ca="1" si="38"/>
        <v>Low</v>
      </c>
      <c r="N447">
        <f t="shared" ca="1" si="39"/>
        <v>0.24</v>
      </c>
      <c r="O447">
        <f t="shared" ca="1" si="40"/>
        <v>0</v>
      </c>
      <c r="P447">
        <f t="shared" ca="1" si="41"/>
        <v>0</v>
      </c>
    </row>
    <row r="448" spans="1:16" x14ac:dyDescent="0.3">
      <c r="A448" t="s">
        <v>763</v>
      </c>
      <c r="B448" t="s">
        <v>366</v>
      </c>
      <c r="C448" t="s">
        <v>36</v>
      </c>
      <c r="D448" t="s">
        <v>18</v>
      </c>
      <c r="E448" s="1">
        <v>45734</v>
      </c>
      <c r="F448">
        <v>50376.86</v>
      </c>
      <c r="G448">
        <v>14.19</v>
      </c>
      <c r="H448">
        <v>360</v>
      </c>
      <c r="I448" t="s">
        <v>14</v>
      </c>
      <c r="J448">
        <v>22670</v>
      </c>
      <c r="K448">
        <f t="shared" ca="1" si="36"/>
        <v>45</v>
      </c>
      <c r="L448">
        <f t="shared" ca="1" si="37"/>
        <v>0</v>
      </c>
      <c r="M448" t="str">
        <f t="shared" ca="1" si="38"/>
        <v>Medium</v>
      </c>
      <c r="N448">
        <f t="shared" ca="1" si="39"/>
        <v>18</v>
      </c>
      <c r="O448">
        <f t="shared" ca="1" si="40"/>
        <v>0</v>
      </c>
      <c r="P448">
        <f t="shared" ca="1" si="41"/>
        <v>0</v>
      </c>
    </row>
    <row r="449" spans="1:16" x14ac:dyDescent="0.3">
      <c r="A449" t="s">
        <v>764</v>
      </c>
      <c r="B449" t="s">
        <v>138</v>
      </c>
      <c r="C449" t="s">
        <v>36</v>
      </c>
      <c r="D449" t="s">
        <v>30</v>
      </c>
      <c r="E449" s="1">
        <v>45956</v>
      </c>
      <c r="F449">
        <v>71599.38</v>
      </c>
      <c r="G449">
        <v>9</v>
      </c>
      <c r="H449">
        <v>180</v>
      </c>
      <c r="I449" t="s">
        <v>14</v>
      </c>
      <c r="J449">
        <v>65871</v>
      </c>
      <c r="K449">
        <f t="shared" ca="1" si="36"/>
        <v>120</v>
      </c>
      <c r="L449">
        <f t="shared" ca="1" si="37"/>
        <v>1</v>
      </c>
      <c r="M449" t="str">
        <f t="shared" ca="1" si="38"/>
        <v>High</v>
      </c>
      <c r="N449">
        <f t="shared" ca="1" si="39"/>
        <v>45</v>
      </c>
      <c r="O449">
        <f t="shared" ca="1" si="40"/>
        <v>39.6</v>
      </c>
      <c r="P449">
        <f t="shared" ca="1" si="41"/>
        <v>0</v>
      </c>
    </row>
    <row r="450" spans="1:16" x14ac:dyDescent="0.3">
      <c r="A450" t="s">
        <v>765</v>
      </c>
      <c r="B450" t="s">
        <v>159</v>
      </c>
      <c r="C450" t="s">
        <v>51</v>
      </c>
      <c r="D450" t="s">
        <v>26</v>
      </c>
      <c r="E450" s="1">
        <v>45646</v>
      </c>
      <c r="F450">
        <v>7969.39</v>
      </c>
      <c r="G450">
        <v>13.96</v>
      </c>
      <c r="H450">
        <v>48</v>
      </c>
      <c r="I450" t="s">
        <v>14</v>
      </c>
      <c r="J450">
        <v>5499</v>
      </c>
      <c r="K450">
        <f t="shared" ca="1" si="36"/>
        <v>0</v>
      </c>
      <c r="L450">
        <f t="shared" ca="1" si="37"/>
        <v>0</v>
      </c>
      <c r="M450" t="str">
        <f t="shared" ca="1" si="38"/>
        <v>Low</v>
      </c>
      <c r="N450">
        <f t="shared" ca="1" si="39"/>
        <v>0.48</v>
      </c>
      <c r="O450">
        <f t="shared" ca="1" si="40"/>
        <v>0</v>
      </c>
      <c r="P450">
        <f t="shared" ca="1" si="41"/>
        <v>9403.8801999999996</v>
      </c>
    </row>
    <row r="451" spans="1:16" x14ac:dyDescent="0.3">
      <c r="A451" t="s">
        <v>766</v>
      </c>
      <c r="B451" t="s">
        <v>375</v>
      </c>
      <c r="C451" t="s">
        <v>51</v>
      </c>
      <c r="D451" t="s">
        <v>30</v>
      </c>
      <c r="E451" s="1">
        <v>45907</v>
      </c>
      <c r="F451">
        <v>54596.44</v>
      </c>
      <c r="G451">
        <v>13.24</v>
      </c>
      <c r="H451">
        <v>240</v>
      </c>
      <c r="I451" t="s">
        <v>19</v>
      </c>
      <c r="J451">
        <v>0</v>
      </c>
      <c r="K451">
        <f t="shared" ref="K451:K514" ca="1" si="42">IF(I451="Paid Off",0,CHOOSE(RANDBETWEEN(1,10),0,0,0,0,15,30,45,60,90,120))</f>
        <v>0</v>
      </c>
      <c r="L451">
        <f t="shared" ref="L451:L514" ca="1" si="43">IF(K451&gt;=90,1,0)</f>
        <v>0</v>
      </c>
      <c r="M451" t="str">
        <f t="shared" ref="M451:M514" ca="1" si="44">IF(K451&gt;=90,"High",IF(K451&gt;=30,"Medium","Low"))</f>
        <v>Low</v>
      </c>
      <c r="N451">
        <f t="shared" ref="N451:N514" ca="1" si="45">IF(L451=1,H451*0.25,IF(K451&gt;=60,H451*0.1,IF(K451&gt;=30,H451*0.05,H451*0.01)))</f>
        <v>2.4</v>
      </c>
      <c r="O451">
        <f t="shared" ref="O451:O514" ca="1" si="46">IF(L451=1,H451*RANDBETWEEN(5,30)/100,0)</f>
        <v>0</v>
      </c>
      <c r="P451">
        <f t="shared" ref="P451:P514" ca="1" si="47">IF(OR(D451="P02",D451="P03",D451="P05"),F451*RANDBETWEEN(70,130)/100,0)</f>
        <v>0</v>
      </c>
    </row>
    <row r="452" spans="1:16" x14ac:dyDescent="0.3">
      <c r="A452" t="s">
        <v>767</v>
      </c>
      <c r="B452" t="s">
        <v>768</v>
      </c>
      <c r="C452" t="s">
        <v>12</v>
      </c>
      <c r="D452" t="s">
        <v>22</v>
      </c>
      <c r="E452" s="1">
        <v>46135</v>
      </c>
      <c r="F452">
        <v>71950.759999999995</v>
      </c>
      <c r="G452">
        <v>18.75</v>
      </c>
      <c r="H452">
        <v>48</v>
      </c>
      <c r="I452" t="s">
        <v>14</v>
      </c>
      <c r="J452">
        <v>59000</v>
      </c>
      <c r="K452">
        <f t="shared" ca="1" si="42"/>
        <v>0</v>
      </c>
      <c r="L452">
        <f t="shared" ca="1" si="43"/>
        <v>0</v>
      </c>
      <c r="M452" t="str">
        <f t="shared" ca="1" si="44"/>
        <v>Low</v>
      </c>
      <c r="N452">
        <f t="shared" ca="1" si="45"/>
        <v>0.48</v>
      </c>
      <c r="O452">
        <f t="shared" ca="1" si="46"/>
        <v>0</v>
      </c>
      <c r="P452">
        <f t="shared" ca="1" si="47"/>
        <v>63316.668799999999</v>
      </c>
    </row>
    <row r="453" spans="1:16" x14ac:dyDescent="0.3">
      <c r="A453" t="s">
        <v>769</v>
      </c>
      <c r="B453" t="s">
        <v>770</v>
      </c>
      <c r="C453" t="s">
        <v>36</v>
      </c>
      <c r="D453" t="s">
        <v>13</v>
      </c>
      <c r="E453" s="1">
        <v>45804</v>
      </c>
      <c r="F453">
        <v>79177.08</v>
      </c>
      <c r="G453">
        <v>8.3800000000000008</v>
      </c>
      <c r="H453">
        <v>84</v>
      </c>
      <c r="I453" t="s">
        <v>27</v>
      </c>
      <c r="J453">
        <v>0</v>
      </c>
      <c r="K453">
        <f t="shared" ca="1" si="42"/>
        <v>0</v>
      </c>
      <c r="L453">
        <f t="shared" ca="1" si="43"/>
        <v>0</v>
      </c>
      <c r="M453" t="str">
        <f t="shared" ca="1" si="44"/>
        <v>Low</v>
      </c>
      <c r="N453">
        <f t="shared" ca="1" si="45"/>
        <v>0.84</v>
      </c>
      <c r="O453">
        <f t="shared" ca="1" si="46"/>
        <v>0</v>
      </c>
      <c r="P453">
        <f t="shared" ca="1" si="47"/>
        <v>0</v>
      </c>
    </row>
    <row r="454" spans="1:16" x14ac:dyDescent="0.3">
      <c r="A454" t="s">
        <v>771</v>
      </c>
      <c r="B454" t="s">
        <v>772</v>
      </c>
      <c r="C454" t="s">
        <v>70</v>
      </c>
      <c r="D454" t="s">
        <v>22</v>
      </c>
      <c r="E454" s="1">
        <v>45601</v>
      </c>
      <c r="F454">
        <v>34217.949999999997</v>
      </c>
      <c r="G454">
        <v>16.18</v>
      </c>
      <c r="H454">
        <v>180</v>
      </c>
      <c r="I454" t="s">
        <v>14</v>
      </c>
      <c r="J454">
        <v>17451</v>
      </c>
      <c r="K454">
        <f t="shared" ca="1" si="42"/>
        <v>15</v>
      </c>
      <c r="L454">
        <f t="shared" ca="1" si="43"/>
        <v>0</v>
      </c>
      <c r="M454" t="str">
        <f t="shared" ca="1" si="44"/>
        <v>Low</v>
      </c>
      <c r="N454">
        <f t="shared" ca="1" si="45"/>
        <v>1.8</v>
      </c>
      <c r="O454">
        <f t="shared" ca="1" si="46"/>
        <v>0</v>
      </c>
      <c r="P454">
        <f t="shared" ca="1" si="47"/>
        <v>34560.129499999995</v>
      </c>
    </row>
    <row r="455" spans="1:16" x14ac:dyDescent="0.3">
      <c r="A455" t="s">
        <v>773</v>
      </c>
      <c r="B455" t="s">
        <v>24</v>
      </c>
      <c r="C455" t="s">
        <v>25</v>
      </c>
      <c r="D455" t="s">
        <v>30</v>
      </c>
      <c r="E455" s="1">
        <v>45811</v>
      </c>
      <c r="F455">
        <v>99571.14</v>
      </c>
      <c r="G455">
        <v>6.2</v>
      </c>
      <c r="H455">
        <v>240</v>
      </c>
      <c r="I455" t="s">
        <v>27</v>
      </c>
      <c r="J455">
        <v>0</v>
      </c>
      <c r="K455">
        <f t="shared" ca="1" si="42"/>
        <v>0</v>
      </c>
      <c r="L455">
        <f t="shared" ca="1" si="43"/>
        <v>0</v>
      </c>
      <c r="M455" t="str">
        <f t="shared" ca="1" si="44"/>
        <v>Low</v>
      </c>
      <c r="N455">
        <f t="shared" ca="1" si="45"/>
        <v>2.4</v>
      </c>
      <c r="O455">
        <f t="shared" ca="1" si="46"/>
        <v>0</v>
      </c>
      <c r="P455">
        <f t="shared" ca="1" si="47"/>
        <v>0</v>
      </c>
    </row>
    <row r="456" spans="1:16" x14ac:dyDescent="0.3">
      <c r="A456" t="s">
        <v>774</v>
      </c>
      <c r="B456" t="s">
        <v>531</v>
      </c>
      <c r="C456" t="s">
        <v>51</v>
      </c>
      <c r="D456" t="s">
        <v>75</v>
      </c>
      <c r="E456" s="1">
        <v>45484</v>
      </c>
      <c r="F456">
        <v>10686.64</v>
      </c>
      <c r="G456">
        <v>16.34</v>
      </c>
      <c r="H456">
        <v>120</v>
      </c>
      <c r="I456" t="s">
        <v>14</v>
      </c>
      <c r="J456">
        <v>5343</v>
      </c>
      <c r="K456">
        <f t="shared" ca="1" si="42"/>
        <v>120</v>
      </c>
      <c r="L456">
        <f t="shared" ca="1" si="43"/>
        <v>1</v>
      </c>
      <c r="M456" t="str">
        <f t="shared" ca="1" si="44"/>
        <v>High</v>
      </c>
      <c r="N456">
        <f t="shared" ca="1" si="45"/>
        <v>30</v>
      </c>
      <c r="O456">
        <f t="shared" ca="1" si="46"/>
        <v>8.4</v>
      </c>
      <c r="P456">
        <f t="shared" ca="1" si="47"/>
        <v>10793.506399999998</v>
      </c>
    </row>
    <row r="457" spans="1:16" x14ac:dyDescent="0.3">
      <c r="A457" t="s">
        <v>775</v>
      </c>
      <c r="B457" t="s">
        <v>750</v>
      </c>
      <c r="C457" t="s">
        <v>39</v>
      </c>
      <c r="D457" t="s">
        <v>75</v>
      </c>
      <c r="E457" s="1">
        <v>46166</v>
      </c>
      <c r="F457">
        <v>49017.47</v>
      </c>
      <c r="G457">
        <v>6.14</v>
      </c>
      <c r="H457">
        <v>12</v>
      </c>
      <c r="I457" t="s">
        <v>19</v>
      </c>
      <c r="J457">
        <v>0</v>
      </c>
      <c r="K457">
        <f t="shared" ca="1" si="42"/>
        <v>0</v>
      </c>
      <c r="L457">
        <f t="shared" ca="1" si="43"/>
        <v>0</v>
      </c>
      <c r="M457" t="str">
        <f t="shared" ca="1" si="44"/>
        <v>Low</v>
      </c>
      <c r="N457">
        <f t="shared" ca="1" si="45"/>
        <v>0.12</v>
      </c>
      <c r="O457">
        <f t="shared" ca="1" si="46"/>
        <v>0</v>
      </c>
      <c r="P457">
        <f t="shared" ca="1" si="47"/>
        <v>47056.771200000003</v>
      </c>
    </row>
    <row r="458" spans="1:16" x14ac:dyDescent="0.3">
      <c r="A458" t="s">
        <v>776</v>
      </c>
      <c r="B458" t="s">
        <v>777</v>
      </c>
      <c r="C458" t="s">
        <v>39</v>
      </c>
      <c r="D458" t="s">
        <v>22</v>
      </c>
      <c r="E458" s="1">
        <v>45716</v>
      </c>
      <c r="F458">
        <v>17516.04</v>
      </c>
      <c r="G458">
        <v>5.16</v>
      </c>
      <c r="H458">
        <v>84</v>
      </c>
      <c r="I458" t="s">
        <v>14</v>
      </c>
      <c r="J458">
        <v>9108</v>
      </c>
      <c r="K458">
        <f t="shared" ca="1" si="42"/>
        <v>45</v>
      </c>
      <c r="L458">
        <f t="shared" ca="1" si="43"/>
        <v>0</v>
      </c>
      <c r="M458" t="str">
        <f t="shared" ca="1" si="44"/>
        <v>Medium</v>
      </c>
      <c r="N458">
        <f t="shared" ca="1" si="45"/>
        <v>4.2</v>
      </c>
      <c r="O458">
        <f t="shared" ca="1" si="46"/>
        <v>0</v>
      </c>
      <c r="P458">
        <f t="shared" ca="1" si="47"/>
        <v>15939.596400000002</v>
      </c>
    </row>
    <row r="459" spans="1:16" x14ac:dyDescent="0.3">
      <c r="A459" t="s">
        <v>778</v>
      </c>
      <c r="B459" t="s">
        <v>78</v>
      </c>
      <c r="C459" t="s">
        <v>39</v>
      </c>
      <c r="D459" t="s">
        <v>13</v>
      </c>
      <c r="E459" s="1">
        <v>45745</v>
      </c>
      <c r="F459">
        <v>58551.27</v>
      </c>
      <c r="G459">
        <v>10.220000000000001</v>
      </c>
      <c r="H459">
        <v>360</v>
      </c>
      <c r="I459" t="s">
        <v>27</v>
      </c>
      <c r="J459">
        <v>0</v>
      </c>
      <c r="K459">
        <f t="shared" ca="1" si="42"/>
        <v>0</v>
      </c>
      <c r="L459">
        <f t="shared" ca="1" si="43"/>
        <v>0</v>
      </c>
      <c r="M459" t="str">
        <f t="shared" ca="1" si="44"/>
        <v>Low</v>
      </c>
      <c r="N459">
        <f t="shared" ca="1" si="45"/>
        <v>3.6</v>
      </c>
      <c r="O459">
        <f t="shared" ca="1" si="46"/>
        <v>0</v>
      </c>
      <c r="P459">
        <f t="shared" ca="1" si="47"/>
        <v>0</v>
      </c>
    </row>
    <row r="460" spans="1:16" x14ac:dyDescent="0.3">
      <c r="A460" t="s">
        <v>779</v>
      </c>
      <c r="B460" t="s">
        <v>92</v>
      </c>
      <c r="C460" t="s">
        <v>17</v>
      </c>
      <c r="D460" t="s">
        <v>22</v>
      </c>
      <c r="E460" s="1">
        <v>46083</v>
      </c>
      <c r="F460">
        <v>18737.580000000002</v>
      </c>
      <c r="G460">
        <v>11.23</v>
      </c>
      <c r="H460">
        <v>360</v>
      </c>
      <c r="I460" t="s">
        <v>19</v>
      </c>
      <c r="J460">
        <v>0</v>
      </c>
      <c r="K460">
        <f t="shared" ca="1" si="42"/>
        <v>0</v>
      </c>
      <c r="L460">
        <f t="shared" ca="1" si="43"/>
        <v>0</v>
      </c>
      <c r="M460" t="str">
        <f t="shared" ca="1" si="44"/>
        <v>Low</v>
      </c>
      <c r="N460">
        <f t="shared" ca="1" si="45"/>
        <v>3.6</v>
      </c>
      <c r="O460">
        <f t="shared" ca="1" si="46"/>
        <v>0</v>
      </c>
      <c r="P460">
        <f t="shared" ca="1" si="47"/>
        <v>17988.076800000003</v>
      </c>
    </row>
    <row r="461" spans="1:16" x14ac:dyDescent="0.3">
      <c r="A461" t="s">
        <v>780</v>
      </c>
      <c r="B461" t="s">
        <v>53</v>
      </c>
      <c r="C461" t="s">
        <v>70</v>
      </c>
      <c r="D461" t="s">
        <v>18</v>
      </c>
      <c r="E461" s="1">
        <v>45704</v>
      </c>
      <c r="F461">
        <v>32974.53</v>
      </c>
      <c r="G461">
        <v>9.24</v>
      </c>
      <c r="H461">
        <v>24</v>
      </c>
      <c r="I461" t="s">
        <v>14</v>
      </c>
      <c r="J461">
        <v>26709</v>
      </c>
      <c r="K461">
        <f t="shared" ca="1" si="42"/>
        <v>45</v>
      </c>
      <c r="L461">
        <f t="shared" ca="1" si="43"/>
        <v>0</v>
      </c>
      <c r="M461" t="str">
        <f t="shared" ca="1" si="44"/>
        <v>Medium</v>
      </c>
      <c r="N461">
        <f t="shared" ca="1" si="45"/>
        <v>1.2000000000000002</v>
      </c>
      <c r="O461">
        <f t="shared" ca="1" si="46"/>
        <v>0</v>
      </c>
      <c r="P461">
        <f t="shared" ca="1" si="47"/>
        <v>0</v>
      </c>
    </row>
    <row r="462" spans="1:16" x14ac:dyDescent="0.3">
      <c r="A462" t="s">
        <v>781</v>
      </c>
      <c r="B462" t="s">
        <v>176</v>
      </c>
      <c r="C462" t="s">
        <v>25</v>
      </c>
      <c r="D462" t="s">
        <v>75</v>
      </c>
      <c r="E462" s="1">
        <v>45461</v>
      </c>
      <c r="F462">
        <v>27586.639999999999</v>
      </c>
      <c r="G462">
        <v>16.100000000000001</v>
      </c>
      <c r="H462">
        <v>60</v>
      </c>
      <c r="I462" t="s">
        <v>14</v>
      </c>
      <c r="J462">
        <v>11035</v>
      </c>
      <c r="K462">
        <f t="shared" ca="1" si="42"/>
        <v>15</v>
      </c>
      <c r="L462">
        <f t="shared" ca="1" si="43"/>
        <v>0</v>
      </c>
      <c r="M462" t="str">
        <f t="shared" ca="1" si="44"/>
        <v>Low</v>
      </c>
      <c r="N462">
        <f t="shared" ca="1" si="45"/>
        <v>0.6</v>
      </c>
      <c r="O462">
        <f t="shared" ca="1" si="46"/>
        <v>0</v>
      </c>
      <c r="P462">
        <f t="shared" ca="1" si="47"/>
        <v>23448.644</v>
      </c>
    </row>
    <row r="463" spans="1:16" x14ac:dyDescent="0.3">
      <c r="A463" t="s">
        <v>782</v>
      </c>
      <c r="B463" t="s">
        <v>540</v>
      </c>
      <c r="C463" t="s">
        <v>17</v>
      </c>
      <c r="D463" t="s">
        <v>75</v>
      </c>
      <c r="E463" s="1">
        <v>46080</v>
      </c>
      <c r="F463">
        <v>72587.87</v>
      </c>
      <c r="G463">
        <v>9.2899999999999991</v>
      </c>
      <c r="H463">
        <v>72</v>
      </c>
      <c r="I463" t="s">
        <v>14</v>
      </c>
      <c r="J463">
        <v>67507</v>
      </c>
      <c r="K463">
        <f t="shared" ca="1" si="42"/>
        <v>60</v>
      </c>
      <c r="L463">
        <f t="shared" ca="1" si="43"/>
        <v>0</v>
      </c>
      <c r="M463" t="str">
        <f t="shared" ca="1" si="44"/>
        <v>Medium</v>
      </c>
      <c r="N463">
        <f t="shared" ca="1" si="45"/>
        <v>7.2</v>
      </c>
      <c r="O463">
        <f t="shared" ca="1" si="46"/>
        <v>0</v>
      </c>
      <c r="P463">
        <f t="shared" ca="1" si="47"/>
        <v>63151.446899999995</v>
      </c>
    </row>
    <row r="464" spans="1:16" x14ac:dyDescent="0.3">
      <c r="A464" t="s">
        <v>783</v>
      </c>
      <c r="B464" t="s">
        <v>208</v>
      </c>
      <c r="C464" t="s">
        <v>54</v>
      </c>
      <c r="D464" t="s">
        <v>22</v>
      </c>
      <c r="E464" s="1">
        <v>46133</v>
      </c>
      <c r="F464">
        <v>45971.37</v>
      </c>
      <c r="G464">
        <v>10.49</v>
      </c>
      <c r="H464">
        <v>180</v>
      </c>
      <c r="I464" t="s">
        <v>14</v>
      </c>
      <c r="J464">
        <v>33559</v>
      </c>
      <c r="K464">
        <f t="shared" ca="1" si="42"/>
        <v>0</v>
      </c>
      <c r="L464">
        <f t="shared" ca="1" si="43"/>
        <v>0</v>
      </c>
      <c r="M464" t="str">
        <f t="shared" ca="1" si="44"/>
        <v>Low</v>
      </c>
      <c r="N464">
        <f t="shared" ca="1" si="45"/>
        <v>1.8</v>
      </c>
      <c r="O464">
        <f t="shared" ca="1" si="46"/>
        <v>0</v>
      </c>
      <c r="P464">
        <f t="shared" ca="1" si="47"/>
        <v>38615.950799999999</v>
      </c>
    </row>
    <row r="465" spans="1:16" x14ac:dyDescent="0.3">
      <c r="A465" t="s">
        <v>784</v>
      </c>
      <c r="B465" t="s">
        <v>785</v>
      </c>
      <c r="C465" t="s">
        <v>33</v>
      </c>
      <c r="D465" t="s">
        <v>75</v>
      </c>
      <c r="E465" s="1">
        <v>45684</v>
      </c>
      <c r="F465">
        <v>44455.89</v>
      </c>
      <c r="G465">
        <v>15.84</v>
      </c>
      <c r="H465">
        <v>60</v>
      </c>
      <c r="I465" t="s">
        <v>14</v>
      </c>
      <c r="J465">
        <v>30675</v>
      </c>
      <c r="K465">
        <f t="shared" ca="1" si="42"/>
        <v>60</v>
      </c>
      <c r="L465">
        <f t="shared" ca="1" si="43"/>
        <v>0</v>
      </c>
      <c r="M465" t="str">
        <f t="shared" ca="1" si="44"/>
        <v>Medium</v>
      </c>
      <c r="N465">
        <f t="shared" ca="1" si="45"/>
        <v>6</v>
      </c>
      <c r="O465">
        <f t="shared" ca="1" si="46"/>
        <v>0</v>
      </c>
      <c r="P465">
        <f t="shared" ca="1" si="47"/>
        <v>36453.8298</v>
      </c>
    </row>
    <row r="466" spans="1:16" x14ac:dyDescent="0.3">
      <c r="A466" t="s">
        <v>786</v>
      </c>
      <c r="B466" t="s">
        <v>138</v>
      </c>
      <c r="C466" t="s">
        <v>54</v>
      </c>
      <c r="D466" t="s">
        <v>22</v>
      </c>
      <c r="E466" s="1">
        <v>46062</v>
      </c>
      <c r="F466">
        <v>63384.95</v>
      </c>
      <c r="G466">
        <v>18.739999999999998</v>
      </c>
      <c r="H466">
        <v>36</v>
      </c>
      <c r="I466" t="s">
        <v>14</v>
      </c>
      <c r="J466">
        <v>43102</v>
      </c>
      <c r="K466">
        <f t="shared" ca="1" si="42"/>
        <v>15</v>
      </c>
      <c r="L466">
        <f t="shared" ca="1" si="43"/>
        <v>0</v>
      </c>
      <c r="M466" t="str">
        <f t="shared" ca="1" si="44"/>
        <v>Low</v>
      </c>
      <c r="N466">
        <f t="shared" ca="1" si="45"/>
        <v>0.36</v>
      </c>
      <c r="O466">
        <f t="shared" ca="1" si="46"/>
        <v>0</v>
      </c>
      <c r="P466">
        <f t="shared" ca="1" si="47"/>
        <v>58948.003499999999</v>
      </c>
    </row>
    <row r="467" spans="1:16" x14ac:dyDescent="0.3">
      <c r="A467" t="s">
        <v>787</v>
      </c>
      <c r="B467" t="s">
        <v>788</v>
      </c>
      <c r="C467" t="s">
        <v>39</v>
      </c>
      <c r="D467" t="s">
        <v>75</v>
      </c>
      <c r="E467" s="1">
        <v>45791</v>
      </c>
      <c r="F467">
        <v>23670.75</v>
      </c>
      <c r="G467">
        <v>10.66</v>
      </c>
      <c r="H467">
        <v>360</v>
      </c>
      <c r="I467" t="s">
        <v>19</v>
      </c>
      <c r="J467">
        <v>0</v>
      </c>
      <c r="K467">
        <f t="shared" ca="1" si="42"/>
        <v>0</v>
      </c>
      <c r="L467">
        <f t="shared" ca="1" si="43"/>
        <v>0</v>
      </c>
      <c r="M467" t="str">
        <f t="shared" ca="1" si="44"/>
        <v>Low</v>
      </c>
      <c r="N467">
        <f t="shared" ca="1" si="45"/>
        <v>3.6</v>
      </c>
      <c r="O467">
        <f t="shared" ca="1" si="46"/>
        <v>0</v>
      </c>
      <c r="P467">
        <f t="shared" ca="1" si="47"/>
        <v>17753.0625</v>
      </c>
    </row>
    <row r="468" spans="1:16" x14ac:dyDescent="0.3">
      <c r="A468" t="s">
        <v>789</v>
      </c>
      <c r="B468" t="s">
        <v>526</v>
      </c>
      <c r="C468" t="s">
        <v>17</v>
      </c>
      <c r="D468" t="s">
        <v>22</v>
      </c>
      <c r="E468" s="1">
        <v>45397</v>
      </c>
      <c r="F468">
        <v>24100.400000000001</v>
      </c>
      <c r="G468">
        <v>7.02</v>
      </c>
      <c r="H468">
        <v>360</v>
      </c>
      <c r="I468" t="s">
        <v>27</v>
      </c>
      <c r="J468">
        <v>0</v>
      </c>
      <c r="K468">
        <f t="shared" ca="1" si="42"/>
        <v>60</v>
      </c>
      <c r="L468">
        <f t="shared" ca="1" si="43"/>
        <v>0</v>
      </c>
      <c r="M468" t="str">
        <f t="shared" ca="1" si="44"/>
        <v>Medium</v>
      </c>
      <c r="N468">
        <f t="shared" ca="1" si="45"/>
        <v>36</v>
      </c>
      <c r="O468">
        <f t="shared" ca="1" si="46"/>
        <v>0</v>
      </c>
      <c r="P468">
        <f t="shared" ca="1" si="47"/>
        <v>21449.356</v>
      </c>
    </row>
    <row r="469" spans="1:16" x14ac:dyDescent="0.3">
      <c r="A469" t="s">
        <v>790</v>
      </c>
      <c r="B469" t="s">
        <v>204</v>
      </c>
      <c r="C469" t="s">
        <v>123</v>
      </c>
      <c r="D469" t="s">
        <v>18</v>
      </c>
      <c r="E469" s="1">
        <v>45541</v>
      </c>
      <c r="F469">
        <v>56435.3</v>
      </c>
      <c r="G469">
        <v>7.04</v>
      </c>
      <c r="H469">
        <v>72</v>
      </c>
      <c r="I469" t="s">
        <v>27</v>
      </c>
      <c r="J469">
        <v>0</v>
      </c>
      <c r="K469">
        <f t="shared" ca="1" si="42"/>
        <v>0</v>
      </c>
      <c r="L469">
        <f t="shared" ca="1" si="43"/>
        <v>0</v>
      </c>
      <c r="M469" t="str">
        <f t="shared" ca="1" si="44"/>
        <v>Low</v>
      </c>
      <c r="N469">
        <f t="shared" ca="1" si="45"/>
        <v>0.72</v>
      </c>
      <c r="O469">
        <f t="shared" ca="1" si="46"/>
        <v>0</v>
      </c>
      <c r="P469">
        <f t="shared" ca="1" si="47"/>
        <v>0</v>
      </c>
    </row>
    <row r="470" spans="1:16" x14ac:dyDescent="0.3">
      <c r="A470" t="s">
        <v>791</v>
      </c>
      <c r="B470" t="s">
        <v>271</v>
      </c>
      <c r="C470" t="s">
        <v>51</v>
      </c>
      <c r="D470" t="s">
        <v>26</v>
      </c>
      <c r="E470" s="1">
        <v>45308</v>
      </c>
      <c r="F470">
        <v>73611.34</v>
      </c>
      <c r="G470">
        <v>8.92</v>
      </c>
      <c r="H470">
        <v>360</v>
      </c>
      <c r="I470" t="s">
        <v>14</v>
      </c>
      <c r="J470">
        <v>50792</v>
      </c>
      <c r="K470">
        <f t="shared" ca="1" si="42"/>
        <v>45</v>
      </c>
      <c r="L470">
        <f t="shared" ca="1" si="43"/>
        <v>0</v>
      </c>
      <c r="M470" t="str">
        <f t="shared" ca="1" si="44"/>
        <v>Medium</v>
      </c>
      <c r="N470">
        <f t="shared" ca="1" si="45"/>
        <v>18</v>
      </c>
      <c r="O470">
        <f t="shared" ca="1" si="46"/>
        <v>0</v>
      </c>
      <c r="P470">
        <f t="shared" ca="1" si="47"/>
        <v>94222.515199999994</v>
      </c>
    </row>
    <row r="471" spans="1:16" x14ac:dyDescent="0.3">
      <c r="A471" t="s">
        <v>792</v>
      </c>
      <c r="B471" t="s">
        <v>288</v>
      </c>
      <c r="C471" t="s">
        <v>25</v>
      </c>
      <c r="D471" t="s">
        <v>22</v>
      </c>
      <c r="E471" s="1">
        <v>45949</v>
      </c>
      <c r="F471">
        <v>54343.15</v>
      </c>
      <c r="G471">
        <v>14.19</v>
      </c>
      <c r="H471">
        <v>60</v>
      </c>
      <c r="I471" t="s">
        <v>27</v>
      </c>
      <c r="J471">
        <v>0</v>
      </c>
      <c r="K471">
        <f t="shared" ca="1" si="42"/>
        <v>0</v>
      </c>
      <c r="L471">
        <f t="shared" ca="1" si="43"/>
        <v>0</v>
      </c>
      <c r="M471" t="str">
        <f t="shared" ca="1" si="44"/>
        <v>Low</v>
      </c>
      <c r="N471">
        <f t="shared" ca="1" si="45"/>
        <v>0.6</v>
      </c>
      <c r="O471">
        <f t="shared" ca="1" si="46"/>
        <v>0</v>
      </c>
      <c r="P471">
        <f t="shared" ca="1" si="47"/>
        <v>51082.561000000009</v>
      </c>
    </row>
    <row r="472" spans="1:16" x14ac:dyDescent="0.3">
      <c r="A472" t="s">
        <v>793</v>
      </c>
      <c r="B472" t="s">
        <v>794</v>
      </c>
      <c r="C472" t="s">
        <v>54</v>
      </c>
      <c r="D472" t="s">
        <v>13</v>
      </c>
      <c r="E472" s="1">
        <v>45540</v>
      </c>
      <c r="F472">
        <v>18153.53</v>
      </c>
      <c r="G472">
        <v>8.24</v>
      </c>
      <c r="H472">
        <v>24</v>
      </c>
      <c r="I472" t="s">
        <v>14</v>
      </c>
      <c r="J472">
        <v>11437</v>
      </c>
      <c r="K472">
        <f t="shared" ca="1" si="42"/>
        <v>15</v>
      </c>
      <c r="L472">
        <f t="shared" ca="1" si="43"/>
        <v>0</v>
      </c>
      <c r="M472" t="str">
        <f t="shared" ca="1" si="44"/>
        <v>Low</v>
      </c>
      <c r="N472">
        <f t="shared" ca="1" si="45"/>
        <v>0.24</v>
      </c>
      <c r="O472">
        <f t="shared" ca="1" si="46"/>
        <v>0</v>
      </c>
      <c r="P472">
        <f t="shared" ca="1" si="47"/>
        <v>0</v>
      </c>
    </row>
    <row r="473" spans="1:16" x14ac:dyDescent="0.3">
      <c r="A473" t="s">
        <v>795</v>
      </c>
      <c r="B473" t="s">
        <v>172</v>
      </c>
      <c r="C473" t="s">
        <v>25</v>
      </c>
      <c r="D473" t="s">
        <v>13</v>
      </c>
      <c r="E473" s="1">
        <v>45599</v>
      </c>
      <c r="F473">
        <v>40133.24</v>
      </c>
      <c r="G473">
        <v>5.68</v>
      </c>
      <c r="H473">
        <v>12</v>
      </c>
      <c r="I473" t="s">
        <v>14</v>
      </c>
      <c r="J473">
        <v>26488</v>
      </c>
      <c r="K473">
        <f t="shared" ca="1" si="42"/>
        <v>0</v>
      </c>
      <c r="L473">
        <f t="shared" ca="1" si="43"/>
        <v>0</v>
      </c>
      <c r="M473" t="str">
        <f t="shared" ca="1" si="44"/>
        <v>Low</v>
      </c>
      <c r="N473">
        <f t="shared" ca="1" si="45"/>
        <v>0.12</v>
      </c>
      <c r="O473">
        <f t="shared" ca="1" si="46"/>
        <v>0</v>
      </c>
      <c r="P473">
        <f t="shared" ca="1" si="47"/>
        <v>0</v>
      </c>
    </row>
    <row r="474" spans="1:16" x14ac:dyDescent="0.3">
      <c r="A474" t="s">
        <v>796</v>
      </c>
      <c r="B474" t="s">
        <v>283</v>
      </c>
      <c r="C474" t="s">
        <v>51</v>
      </c>
      <c r="D474" t="s">
        <v>13</v>
      </c>
      <c r="E474" s="1">
        <v>45366</v>
      </c>
      <c r="F474">
        <v>36201.24</v>
      </c>
      <c r="G474">
        <v>5.34</v>
      </c>
      <c r="H474">
        <v>48</v>
      </c>
      <c r="I474" t="s">
        <v>19</v>
      </c>
      <c r="J474">
        <v>0</v>
      </c>
      <c r="K474">
        <f t="shared" ca="1" si="42"/>
        <v>0</v>
      </c>
      <c r="L474">
        <f t="shared" ca="1" si="43"/>
        <v>0</v>
      </c>
      <c r="M474" t="str">
        <f t="shared" ca="1" si="44"/>
        <v>Low</v>
      </c>
      <c r="N474">
        <f t="shared" ca="1" si="45"/>
        <v>0.48</v>
      </c>
      <c r="O474">
        <f t="shared" ca="1" si="46"/>
        <v>0</v>
      </c>
      <c r="P474">
        <f t="shared" ca="1" si="47"/>
        <v>0</v>
      </c>
    </row>
    <row r="475" spans="1:16" x14ac:dyDescent="0.3">
      <c r="A475" t="s">
        <v>797</v>
      </c>
      <c r="B475" t="s">
        <v>244</v>
      </c>
      <c r="C475" t="s">
        <v>25</v>
      </c>
      <c r="D475" t="s">
        <v>18</v>
      </c>
      <c r="E475" s="1">
        <v>45861</v>
      </c>
      <c r="F475">
        <v>10598.88</v>
      </c>
      <c r="G475">
        <v>15.1</v>
      </c>
      <c r="H475">
        <v>12</v>
      </c>
      <c r="I475" t="s">
        <v>14</v>
      </c>
      <c r="J475">
        <v>8161</v>
      </c>
      <c r="K475">
        <f t="shared" ca="1" si="42"/>
        <v>0</v>
      </c>
      <c r="L475">
        <f t="shared" ca="1" si="43"/>
        <v>0</v>
      </c>
      <c r="M475" t="str">
        <f t="shared" ca="1" si="44"/>
        <v>Low</v>
      </c>
      <c r="N475">
        <f t="shared" ca="1" si="45"/>
        <v>0.12</v>
      </c>
      <c r="O475">
        <f t="shared" ca="1" si="46"/>
        <v>0</v>
      </c>
      <c r="P475">
        <f t="shared" ca="1" si="47"/>
        <v>0</v>
      </c>
    </row>
    <row r="476" spans="1:16" x14ac:dyDescent="0.3">
      <c r="A476" t="s">
        <v>798</v>
      </c>
      <c r="B476" t="s">
        <v>799</v>
      </c>
      <c r="C476" t="s">
        <v>70</v>
      </c>
      <c r="D476" t="s">
        <v>13</v>
      </c>
      <c r="E476" s="1">
        <v>45400</v>
      </c>
      <c r="F476">
        <v>87019.51</v>
      </c>
      <c r="G476">
        <v>6.56</v>
      </c>
      <c r="H476">
        <v>60</v>
      </c>
      <c r="I476" t="s">
        <v>19</v>
      </c>
      <c r="J476">
        <v>0</v>
      </c>
      <c r="K476">
        <f t="shared" ca="1" si="42"/>
        <v>0</v>
      </c>
      <c r="L476">
        <f t="shared" ca="1" si="43"/>
        <v>0</v>
      </c>
      <c r="M476" t="str">
        <f t="shared" ca="1" si="44"/>
        <v>Low</v>
      </c>
      <c r="N476">
        <f t="shared" ca="1" si="45"/>
        <v>0.6</v>
      </c>
      <c r="O476">
        <f t="shared" ca="1" si="46"/>
        <v>0</v>
      </c>
      <c r="P476">
        <f t="shared" ca="1" si="47"/>
        <v>0</v>
      </c>
    </row>
    <row r="477" spans="1:16" x14ac:dyDescent="0.3">
      <c r="A477" t="s">
        <v>800</v>
      </c>
      <c r="B477" t="s">
        <v>556</v>
      </c>
      <c r="C477" t="s">
        <v>54</v>
      </c>
      <c r="D477" t="s">
        <v>26</v>
      </c>
      <c r="E477" s="1">
        <v>45693</v>
      </c>
      <c r="F477">
        <v>98716.02</v>
      </c>
      <c r="G477">
        <v>13.08</v>
      </c>
      <c r="H477">
        <v>12</v>
      </c>
      <c r="I477" t="s">
        <v>27</v>
      </c>
      <c r="J477">
        <v>0</v>
      </c>
      <c r="K477">
        <f t="shared" ca="1" si="42"/>
        <v>0</v>
      </c>
      <c r="L477">
        <f t="shared" ca="1" si="43"/>
        <v>0</v>
      </c>
      <c r="M477" t="str">
        <f t="shared" ca="1" si="44"/>
        <v>Low</v>
      </c>
      <c r="N477">
        <f t="shared" ca="1" si="45"/>
        <v>0.12</v>
      </c>
      <c r="O477">
        <f t="shared" ca="1" si="46"/>
        <v>0</v>
      </c>
      <c r="P477">
        <f t="shared" ca="1" si="47"/>
        <v>83908.617000000013</v>
      </c>
    </row>
    <row r="478" spans="1:16" x14ac:dyDescent="0.3">
      <c r="A478" t="s">
        <v>801</v>
      </c>
      <c r="B478" t="s">
        <v>504</v>
      </c>
      <c r="C478" t="s">
        <v>70</v>
      </c>
      <c r="D478" t="s">
        <v>75</v>
      </c>
      <c r="E478" s="1">
        <v>45473</v>
      </c>
      <c r="F478">
        <v>8952.85</v>
      </c>
      <c r="G478">
        <v>8.52</v>
      </c>
      <c r="H478">
        <v>36</v>
      </c>
      <c r="I478" t="s">
        <v>14</v>
      </c>
      <c r="J478">
        <v>7879</v>
      </c>
      <c r="K478">
        <f t="shared" ca="1" si="42"/>
        <v>15</v>
      </c>
      <c r="L478">
        <f t="shared" ca="1" si="43"/>
        <v>0</v>
      </c>
      <c r="M478" t="str">
        <f t="shared" ca="1" si="44"/>
        <v>Low</v>
      </c>
      <c r="N478">
        <f t="shared" ca="1" si="45"/>
        <v>0.36</v>
      </c>
      <c r="O478">
        <f t="shared" ca="1" si="46"/>
        <v>0</v>
      </c>
      <c r="P478">
        <f t="shared" ca="1" si="47"/>
        <v>8147.0934999999999</v>
      </c>
    </row>
    <row r="479" spans="1:16" x14ac:dyDescent="0.3">
      <c r="A479" t="s">
        <v>802</v>
      </c>
      <c r="B479" t="s">
        <v>198</v>
      </c>
      <c r="C479" t="s">
        <v>17</v>
      </c>
      <c r="D479" t="s">
        <v>18</v>
      </c>
      <c r="E479" s="1">
        <v>45398</v>
      </c>
      <c r="F479">
        <v>19083.919999999998</v>
      </c>
      <c r="G479">
        <v>9.01</v>
      </c>
      <c r="H479">
        <v>72</v>
      </c>
      <c r="I479" t="s">
        <v>14</v>
      </c>
      <c r="J479">
        <v>7443</v>
      </c>
      <c r="K479">
        <f t="shared" ca="1" si="42"/>
        <v>90</v>
      </c>
      <c r="L479">
        <f t="shared" ca="1" si="43"/>
        <v>1</v>
      </c>
      <c r="M479" t="str">
        <f t="shared" ca="1" si="44"/>
        <v>High</v>
      </c>
      <c r="N479">
        <f t="shared" ca="1" si="45"/>
        <v>18</v>
      </c>
      <c r="O479">
        <f t="shared" ca="1" si="46"/>
        <v>18</v>
      </c>
      <c r="P479">
        <f t="shared" ca="1" si="47"/>
        <v>0</v>
      </c>
    </row>
    <row r="480" spans="1:16" x14ac:dyDescent="0.3">
      <c r="A480" t="s">
        <v>803</v>
      </c>
      <c r="B480" t="s">
        <v>717</v>
      </c>
      <c r="C480" t="s">
        <v>54</v>
      </c>
      <c r="D480" t="s">
        <v>13</v>
      </c>
      <c r="E480" s="1">
        <v>46123</v>
      </c>
      <c r="F480">
        <v>79684.08</v>
      </c>
      <c r="G480">
        <v>6.06</v>
      </c>
      <c r="H480">
        <v>12</v>
      </c>
      <c r="I480" t="s">
        <v>27</v>
      </c>
      <c r="J480">
        <v>0</v>
      </c>
      <c r="K480">
        <f t="shared" ca="1" si="42"/>
        <v>0</v>
      </c>
      <c r="L480">
        <f t="shared" ca="1" si="43"/>
        <v>0</v>
      </c>
      <c r="M480" t="str">
        <f t="shared" ca="1" si="44"/>
        <v>Low</v>
      </c>
      <c r="N480">
        <f t="shared" ca="1" si="45"/>
        <v>0.12</v>
      </c>
      <c r="O480">
        <f t="shared" ca="1" si="46"/>
        <v>0</v>
      </c>
      <c r="P480">
        <f t="shared" ca="1" si="47"/>
        <v>0</v>
      </c>
    </row>
    <row r="481" spans="1:16" x14ac:dyDescent="0.3">
      <c r="A481" t="s">
        <v>804</v>
      </c>
      <c r="B481" t="s">
        <v>805</v>
      </c>
      <c r="C481" t="s">
        <v>70</v>
      </c>
      <c r="D481" t="s">
        <v>22</v>
      </c>
      <c r="E481" s="1">
        <v>45767</v>
      </c>
      <c r="F481">
        <v>49729.86</v>
      </c>
      <c r="G481">
        <v>20.74</v>
      </c>
      <c r="H481">
        <v>48</v>
      </c>
      <c r="I481" t="s">
        <v>19</v>
      </c>
      <c r="J481">
        <v>0</v>
      </c>
      <c r="K481">
        <f t="shared" ca="1" si="42"/>
        <v>0</v>
      </c>
      <c r="L481">
        <f t="shared" ca="1" si="43"/>
        <v>0</v>
      </c>
      <c r="M481" t="str">
        <f t="shared" ca="1" si="44"/>
        <v>Low</v>
      </c>
      <c r="N481">
        <f t="shared" ca="1" si="45"/>
        <v>0.48</v>
      </c>
      <c r="O481">
        <f t="shared" ca="1" si="46"/>
        <v>0</v>
      </c>
      <c r="P481">
        <f t="shared" ca="1" si="47"/>
        <v>36302.7978</v>
      </c>
    </row>
    <row r="482" spans="1:16" x14ac:dyDescent="0.3">
      <c r="A482" t="s">
        <v>806</v>
      </c>
      <c r="B482" t="s">
        <v>107</v>
      </c>
      <c r="C482" t="s">
        <v>36</v>
      </c>
      <c r="D482" t="s">
        <v>26</v>
      </c>
      <c r="E482" s="1">
        <v>45542</v>
      </c>
      <c r="F482">
        <v>62796.75</v>
      </c>
      <c r="G482">
        <v>10.15</v>
      </c>
      <c r="H482">
        <v>120</v>
      </c>
      <c r="I482" t="s">
        <v>14</v>
      </c>
      <c r="J482">
        <v>52121</v>
      </c>
      <c r="K482">
        <f t="shared" ca="1" si="42"/>
        <v>0</v>
      </c>
      <c r="L482">
        <f t="shared" ca="1" si="43"/>
        <v>0</v>
      </c>
      <c r="M482" t="str">
        <f t="shared" ca="1" si="44"/>
        <v>Low</v>
      </c>
      <c r="N482">
        <f t="shared" ca="1" si="45"/>
        <v>1.2</v>
      </c>
      <c r="O482">
        <f t="shared" ca="1" si="46"/>
        <v>0</v>
      </c>
      <c r="P482">
        <f t="shared" ca="1" si="47"/>
        <v>67820.490000000005</v>
      </c>
    </row>
    <row r="483" spans="1:16" x14ac:dyDescent="0.3">
      <c r="A483" t="s">
        <v>807</v>
      </c>
      <c r="B483" t="s">
        <v>808</v>
      </c>
      <c r="C483" t="s">
        <v>51</v>
      </c>
      <c r="D483" t="s">
        <v>13</v>
      </c>
      <c r="E483" s="1">
        <v>45556</v>
      </c>
      <c r="F483">
        <v>43892.41</v>
      </c>
      <c r="G483">
        <v>14.03</v>
      </c>
      <c r="H483">
        <v>240</v>
      </c>
      <c r="I483" t="s">
        <v>19</v>
      </c>
      <c r="J483">
        <v>0</v>
      </c>
      <c r="K483">
        <f t="shared" ca="1" si="42"/>
        <v>0</v>
      </c>
      <c r="L483">
        <f t="shared" ca="1" si="43"/>
        <v>0</v>
      </c>
      <c r="M483" t="str">
        <f t="shared" ca="1" si="44"/>
        <v>Low</v>
      </c>
      <c r="N483">
        <f t="shared" ca="1" si="45"/>
        <v>2.4</v>
      </c>
      <c r="O483">
        <f t="shared" ca="1" si="46"/>
        <v>0</v>
      </c>
      <c r="P483">
        <f t="shared" ca="1" si="47"/>
        <v>0</v>
      </c>
    </row>
    <row r="484" spans="1:16" x14ac:dyDescent="0.3">
      <c r="A484" t="s">
        <v>809</v>
      </c>
      <c r="B484" t="s">
        <v>119</v>
      </c>
      <c r="C484" t="s">
        <v>17</v>
      </c>
      <c r="D484" t="s">
        <v>75</v>
      </c>
      <c r="E484" s="1">
        <v>45694</v>
      </c>
      <c r="F484">
        <v>49092.84</v>
      </c>
      <c r="G484">
        <v>12.41</v>
      </c>
      <c r="H484">
        <v>240</v>
      </c>
      <c r="I484" t="s">
        <v>14</v>
      </c>
      <c r="J484">
        <v>33383</v>
      </c>
      <c r="K484">
        <f t="shared" ca="1" si="42"/>
        <v>120</v>
      </c>
      <c r="L484">
        <f t="shared" ca="1" si="43"/>
        <v>1</v>
      </c>
      <c r="M484" t="str">
        <f t="shared" ca="1" si="44"/>
        <v>High</v>
      </c>
      <c r="N484">
        <f t="shared" ca="1" si="45"/>
        <v>60</v>
      </c>
      <c r="O484">
        <f t="shared" ca="1" si="46"/>
        <v>72</v>
      </c>
      <c r="P484">
        <f t="shared" ca="1" si="47"/>
        <v>45165.412799999991</v>
      </c>
    </row>
    <row r="485" spans="1:16" x14ac:dyDescent="0.3">
      <c r="A485" t="s">
        <v>810</v>
      </c>
      <c r="B485" t="s">
        <v>811</v>
      </c>
      <c r="C485" t="s">
        <v>25</v>
      </c>
      <c r="D485" t="s">
        <v>30</v>
      </c>
      <c r="E485" s="1">
        <v>46030</v>
      </c>
      <c r="F485">
        <v>56787.87</v>
      </c>
      <c r="G485">
        <v>6.16</v>
      </c>
      <c r="H485">
        <v>60</v>
      </c>
      <c r="I485" t="s">
        <v>14</v>
      </c>
      <c r="J485">
        <v>41455</v>
      </c>
      <c r="K485">
        <f t="shared" ca="1" si="42"/>
        <v>0</v>
      </c>
      <c r="L485">
        <f t="shared" ca="1" si="43"/>
        <v>0</v>
      </c>
      <c r="M485" t="str">
        <f t="shared" ca="1" si="44"/>
        <v>Low</v>
      </c>
      <c r="N485">
        <f t="shared" ca="1" si="45"/>
        <v>0.6</v>
      </c>
      <c r="O485">
        <f t="shared" ca="1" si="46"/>
        <v>0</v>
      </c>
      <c r="P485">
        <f t="shared" ca="1" si="47"/>
        <v>0</v>
      </c>
    </row>
    <row r="486" spans="1:16" x14ac:dyDescent="0.3">
      <c r="A486" t="s">
        <v>812</v>
      </c>
      <c r="B486" t="s">
        <v>584</v>
      </c>
      <c r="C486" t="s">
        <v>70</v>
      </c>
      <c r="D486" t="s">
        <v>26</v>
      </c>
      <c r="E486" s="1">
        <v>45765</v>
      </c>
      <c r="F486">
        <v>48097.65</v>
      </c>
      <c r="G486">
        <v>8.93</v>
      </c>
      <c r="H486">
        <v>84</v>
      </c>
      <c r="I486" t="s">
        <v>27</v>
      </c>
      <c r="J486">
        <v>0</v>
      </c>
      <c r="K486">
        <f t="shared" ca="1" si="42"/>
        <v>0</v>
      </c>
      <c r="L486">
        <f t="shared" ca="1" si="43"/>
        <v>0</v>
      </c>
      <c r="M486" t="str">
        <f t="shared" ca="1" si="44"/>
        <v>Low</v>
      </c>
      <c r="N486">
        <f t="shared" ca="1" si="45"/>
        <v>0.84</v>
      </c>
      <c r="O486">
        <f t="shared" ca="1" si="46"/>
        <v>0</v>
      </c>
      <c r="P486">
        <f t="shared" ca="1" si="47"/>
        <v>45211.791000000005</v>
      </c>
    </row>
    <row r="487" spans="1:16" x14ac:dyDescent="0.3">
      <c r="A487" t="s">
        <v>813</v>
      </c>
      <c r="B487" t="s">
        <v>310</v>
      </c>
      <c r="C487" t="s">
        <v>39</v>
      </c>
      <c r="D487" t="s">
        <v>30</v>
      </c>
      <c r="E487" s="1">
        <v>46033</v>
      </c>
      <c r="F487">
        <v>55795.4</v>
      </c>
      <c r="G487">
        <v>5.5</v>
      </c>
      <c r="H487">
        <v>72</v>
      </c>
      <c r="I487" t="s">
        <v>14</v>
      </c>
      <c r="J487">
        <v>21760</v>
      </c>
      <c r="K487">
        <f t="shared" ca="1" si="42"/>
        <v>0</v>
      </c>
      <c r="L487">
        <f t="shared" ca="1" si="43"/>
        <v>0</v>
      </c>
      <c r="M487" t="str">
        <f t="shared" ca="1" si="44"/>
        <v>Low</v>
      </c>
      <c r="N487">
        <f t="shared" ca="1" si="45"/>
        <v>0.72</v>
      </c>
      <c r="O487">
        <f t="shared" ca="1" si="46"/>
        <v>0</v>
      </c>
      <c r="P487">
        <f t="shared" ca="1" si="47"/>
        <v>0</v>
      </c>
    </row>
    <row r="488" spans="1:16" x14ac:dyDescent="0.3">
      <c r="A488" t="s">
        <v>814</v>
      </c>
      <c r="B488" t="s">
        <v>146</v>
      </c>
      <c r="C488" t="s">
        <v>70</v>
      </c>
      <c r="D488" t="s">
        <v>13</v>
      </c>
      <c r="E488" s="1">
        <v>45752</v>
      </c>
      <c r="F488">
        <v>93954.9</v>
      </c>
      <c r="G488">
        <v>16.920000000000002</v>
      </c>
      <c r="H488">
        <v>180</v>
      </c>
      <c r="I488" t="s">
        <v>19</v>
      </c>
      <c r="J488">
        <v>0</v>
      </c>
      <c r="K488">
        <f t="shared" ca="1" si="42"/>
        <v>0</v>
      </c>
      <c r="L488">
        <f t="shared" ca="1" si="43"/>
        <v>0</v>
      </c>
      <c r="M488" t="str">
        <f t="shared" ca="1" si="44"/>
        <v>Low</v>
      </c>
      <c r="N488">
        <f t="shared" ca="1" si="45"/>
        <v>1.8</v>
      </c>
      <c r="O488">
        <f t="shared" ca="1" si="46"/>
        <v>0</v>
      </c>
      <c r="P488">
        <f t="shared" ca="1" si="47"/>
        <v>0</v>
      </c>
    </row>
    <row r="489" spans="1:16" x14ac:dyDescent="0.3">
      <c r="A489" t="s">
        <v>815</v>
      </c>
      <c r="B489" t="s">
        <v>816</v>
      </c>
      <c r="C489" t="s">
        <v>33</v>
      </c>
      <c r="D489" t="s">
        <v>22</v>
      </c>
      <c r="E489" s="1">
        <v>45335</v>
      </c>
      <c r="F489">
        <v>51784.09</v>
      </c>
      <c r="G489">
        <v>16.739999999999998</v>
      </c>
      <c r="H489">
        <v>72</v>
      </c>
      <c r="I489" t="s">
        <v>27</v>
      </c>
      <c r="J489">
        <v>0</v>
      </c>
      <c r="K489">
        <f t="shared" ca="1" si="42"/>
        <v>45</v>
      </c>
      <c r="L489">
        <f t="shared" ca="1" si="43"/>
        <v>0</v>
      </c>
      <c r="M489" t="str">
        <f t="shared" ca="1" si="44"/>
        <v>Medium</v>
      </c>
      <c r="N489">
        <f t="shared" ca="1" si="45"/>
        <v>3.6</v>
      </c>
      <c r="O489">
        <f t="shared" ca="1" si="46"/>
        <v>0</v>
      </c>
      <c r="P489">
        <f t="shared" ca="1" si="47"/>
        <v>51784.09</v>
      </c>
    </row>
    <row r="490" spans="1:16" x14ac:dyDescent="0.3">
      <c r="A490" t="s">
        <v>817</v>
      </c>
      <c r="B490" t="s">
        <v>818</v>
      </c>
      <c r="C490" t="s">
        <v>33</v>
      </c>
      <c r="D490" t="s">
        <v>26</v>
      </c>
      <c r="E490" s="1">
        <v>45569</v>
      </c>
      <c r="F490">
        <v>80911.5</v>
      </c>
      <c r="G490">
        <v>8.9700000000000006</v>
      </c>
      <c r="H490">
        <v>240</v>
      </c>
      <c r="I490" t="s">
        <v>27</v>
      </c>
      <c r="J490">
        <v>0</v>
      </c>
      <c r="K490">
        <f t="shared" ca="1" si="42"/>
        <v>0</v>
      </c>
      <c r="L490">
        <f t="shared" ca="1" si="43"/>
        <v>0</v>
      </c>
      <c r="M490" t="str">
        <f t="shared" ca="1" si="44"/>
        <v>Low</v>
      </c>
      <c r="N490">
        <f t="shared" ca="1" si="45"/>
        <v>2.4</v>
      </c>
      <c r="O490">
        <f t="shared" ca="1" si="46"/>
        <v>0</v>
      </c>
      <c r="P490">
        <f t="shared" ca="1" si="47"/>
        <v>74438.58</v>
      </c>
    </row>
    <row r="491" spans="1:16" x14ac:dyDescent="0.3">
      <c r="A491" t="s">
        <v>819</v>
      </c>
      <c r="B491" t="s">
        <v>683</v>
      </c>
      <c r="C491" t="s">
        <v>70</v>
      </c>
      <c r="D491" t="s">
        <v>18</v>
      </c>
      <c r="E491" s="1">
        <v>45593</v>
      </c>
      <c r="F491">
        <v>42632.66</v>
      </c>
      <c r="G491">
        <v>18.54</v>
      </c>
      <c r="H491">
        <v>36</v>
      </c>
      <c r="I491" t="s">
        <v>14</v>
      </c>
      <c r="J491">
        <v>34532</v>
      </c>
      <c r="K491">
        <f t="shared" ca="1" si="42"/>
        <v>0</v>
      </c>
      <c r="L491">
        <f t="shared" ca="1" si="43"/>
        <v>0</v>
      </c>
      <c r="M491" t="str">
        <f t="shared" ca="1" si="44"/>
        <v>Low</v>
      </c>
      <c r="N491">
        <f t="shared" ca="1" si="45"/>
        <v>0.36</v>
      </c>
      <c r="O491">
        <f t="shared" ca="1" si="46"/>
        <v>0</v>
      </c>
      <c r="P491">
        <f t="shared" ca="1" si="47"/>
        <v>0</v>
      </c>
    </row>
    <row r="492" spans="1:16" x14ac:dyDescent="0.3">
      <c r="A492" t="s">
        <v>820</v>
      </c>
      <c r="B492" t="s">
        <v>208</v>
      </c>
      <c r="C492" t="s">
        <v>36</v>
      </c>
      <c r="D492" t="s">
        <v>18</v>
      </c>
      <c r="E492" s="1">
        <v>45969</v>
      </c>
      <c r="F492">
        <v>16764.05</v>
      </c>
      <c r="G492">
        <v>6.32</v>
      </c>
      <c r="H492">
        <v>240</v>
      </c>
      <c r="I492" t="s">
        <v>14</v>
      </c>
      <c r="J492">
        <v>8717</v>
      </c>
      <c r="K492">
        <f t="shared" ca="1" si="42"/>
        <v>30</v>
      </c>
      <c r="L492">
        <f t="shared" ca="1" si="43"/>
        <v>0</v>
      </c>
      <c r="M492" t="str">
        <f t="shared" ca="1" si="44"/>
        <v>Medium</v>
      </c>
      <c r="N492">
        <f t="shared" ca="1" si="45"/>
        <v>12</v>
      </c>
      <c r="O492">
        <f t="shared" ca="1" si="46"/>
        <v>0</v>
      </c>
      <c r="P492">
        <f t="shared" ca="1" si="47"/>
        <v>0</v>
      </c>
    </row>
    <row r="493" spans="1:16" x14ac:dyDescent="0.3">
      <c r="A493" t="s">
        <v>821</v>
      </c>
      <c r="B493" t="s">
        <v>643</v>
      </c>
      <c r="C493" t="s">
        <v>17</v>
      </c>
      <c r="D493" t="s">
        <v>30</v>
      </c>
      <c r="E493" s="1">
        <v>45735</v>
      </c>
      <c r="F493">
        <v>91286.080000000002</v>
      </c>
      <c r="G493">
        <v>15.55</v>
      </c>
      <c r="H493">
        <v>36</v>
      </c>
      <c r="I493" t="s">
        <v>14</v>
      </c>
      <c r="J493">
        <v>84896</v>
      </c>
      <c r="K493">
        <f t="shared" ca="1" si="42"/>
        <v>0</v>
      </c>
      <c r="L493">
        <f t="shared" ca="1" si="43"/>
        <v>0</v>
      </c>
      <c r="M493" t="str">
        <f t="shared" ca="1" si="44"/>
        <v>Low</v>
      </c>
      <c r="N493">
        <f t="shared" ca="1" si="45"/>
        <v>0.36</v>
      </c>
      <c r="O493">
        <f t="shared" ca="1" si="46"/>
        <v>0</v>
      </c>
      <c r="P493">
        <f t="shared" ca="1" si="47"/>
        <v>0</v>
      </c>
    </row>
    <row r="494" spans="1:16" x14ac:dyDescent="0.3">
      <c r="A494" t="s">
        <v>822</v>
      </c>
      <c r="B494" t="s">
        <v>67</v>
      </c>
      <c r="C494" t="s">
        <v>25</v>
      </c>
      <c r="D494" t="s">
        <v>26</v>
      </c>
      <c r="E494" s="1">
        <v>46062</v>
      </c>
      <c r="F494">
        <v>3661.84</v>
      </c>
      <c r="G494">
        <v>19.920000000000002</v>
      </c>
      <c r="H494">
        <v>72</v>
      </c>
      <c r="I494" t="s">
        <v>14</v>
      </c>
      <c r="J494">
        <v>2307</v>
      </c>
      <c r="K494">
        <f t="shared" ca="1" si="42"/>
        <v>15</v>
      </c>
      <c r="L494">
        <f t="shared" ca="1" si="43"/>
        <v>0</v>
      </c>
      <c r="M494" t="str">
        <f t="shared" ca="1" si="44"/>
        <v>Low</v>
      </c>
      <c r="N494">
        <f t="shared" ca="1" si="45"/>
        <v>0.72</v>
      </c>
      <c r="O494">
        <f t="shared" ca="1" si="46"/>
        <v>0</v>
      </c>
      <c r="P494">
        <f t="shared" ca="1" si="47"/>
        <v>3661.84</v>
      </c>
    </row>
    <row r="495" spans="1:16" x14ac:dyDescent="0.3">
      <c r="A495" t="s">
        <v>823</v>
      </c>
      <c r="B495" t="s">
        <v>824</v>
      </c>
      <c r="C495" t="s">
        <v>17</v>
      </c>
      <c r="D495" t="s">
        <v>26</v>
      </c>
      <c r="E495" s="1">
        <v>45411</v>
      </c>
      <c r="F495">
        <v>94951.9</v>
      </c>
      <c r="G495">
        <v>12.33</v>
      </c>
      <c r="H495">
        <v>180</v>
      </c>
      <c r="I495" t="s">
        <v>14</v>
      </c>
      <c r="J495">
        <v>88305</v>
      </c>
      <c r="K495">
        <f t="shared" ca="1" si="42"/>
        <v>90</v>
      </c>
      <c r="L495">
        <f t="shared" ca="1" si="43"/>
        <v>1</v>
      </c>
      <c r="M495" t="str">
        <f t="shared" ca="1" si="44"/>
        <v>High</v>
      </c>
      <c r="N495">
        <f t="shared" ca="1" si="45"/>
        <v>45</v>
      </c>
      <c r="O495">
        <f t="shared" ca="1" si="46"/>
        <v>19.8</v>
      </c>
      <c r="P495">
        <f t="shared" ca="1" si="47"/>
        <v>112043.242</v>
      </c>
    </row>
    <row r="496" spans="1:16" x14ac:dyDescent="0.3">
      <c r="A496" t="s">
        <v>825</v>
      </c>
      <c r="B496" t="s">
        <v>826</v>
      </c>
      <c r="C496" t="s">
        <v>25</v>
      </c>
      <c r="D496" t="s">
        <v>75</v>
      </c>
      <c r="E496" s="1">
        <v>45900</v>
      </c>
      <c r="F496">
        <v>1509.21</v>
      </c>
      <c r="G496">
        <v>12.32</v>
      </c>
      <c r="H496">
        <v>60</v>
      </c>
      <c r="I496" t="s">
        <v>27</v>
      </c>
      <c r="J496">
        <v>0</v>
      </c>
      <c r="K496">
        <f t="shared" ca="1" si="42"/>
        <v>0</v>
      </c>
      <c r="L496">
        <f t="shared" ca="1" si="43"/>
        <v>0</v>
      </c>
      <c r="M496" t="str">
        <f t="shared" ca="1" si="44"/>
        <v>Low</v>
      </c>
      <c r="N496">
        <f t="shared" ca="1" si="45"/>
        <v>0.6</v>
      </c>
      <c r="O496">
        <f t="shared" ca="1" si="46"/>
        <v>0</v>
      </c>
      <c r="P496">
        <f t="shared" ca="1" si="47"/>
        <v>1162.0916999999999</v>
      </c>
    </row>
    <row r="497" spans="1:16" x14ac:dyDescent="0.3">
      <c r="A497" t="s">
        <v>827</v>
      </c>
      <c r="B497" t="s">
        <v>713</v>
      </c>
      <c r="C497" t="s">
        <v>54</v>
      </c>
      <c r="D497" t="s">
        <v>30</v>
      </c>
      <c r="E497" s="1">
        <v>46015</v>
      </c>
      <c r="F497">
        <v>18798.86</v>
      </c>
      <c r="G497">
        <v>9.7100000000000009</v>
      </c>
      <c r="H497">
        <v>72</v>
      </c>
      <c r="I497" t="s">
        <v>14</v>
      </c>
      <c r="J497">
        <v>6768</v>
      </c>
      <c r="K497">
        <f t="shared" ca="1" si="42"/>
        <v>30</v>
      </c>
      <c r="L497">
        <f t="shared" ca="1" si="43"/>
        <v>0</v>
      </c>
      <c r="M497" t="str">
        <f t="shared" ca="1" si="44"/>
        <v>Medium</v>
      </c>
      <c r="N497">
        <f t="shared" ca="1" si="45"/>
        <v>3.6</v>
      </c>
      <c r="O497">
        <f t="shared" ca="1" si="46"/>
        <v>0</v>
      </c>
      <c r="P497">
        <f t="shared" ca="1" si="47"/>
        <v>0</v>
      </c>
    </row>
    <row r="498" spans="1:16" x14ac:dyDescent="0.3">
      <c r="A498" t="s">
        <v>828</v>
      </c>
      <c r="B498" t="s">
        <v>829</v>
      </c>
      <c r="C498" t="s">
        <v>17</v>
      </c>
      <c r="D498" t="s">
        <v>75</v>
      </c>
      <c r="E498" s="1">
        <v>45546</v>
      </c>
      <c r="F498">
        <v>57290.04</v>
      </c>
      <c r="G498">
        <v>10.07</v>
      </c>
      <c r="H498">
        <v>84</v>
      </c>
      <c r="I498" t="s">
        <v>27</v>
      </c>
      <c r="J498">
        <v>0</v>
      </c>
      <c r="K498">
        <f t="shared" ca="1" si="42"/>
        <v>15</v>
      </c>
      <c r="L498">
        <f t="shared" ca="1" si="43"/>
        <v>0</v>
      </c>
      <c r="M498" t="str">
        <f t="shared" ca="1" si="44"/>
        <v>Low</v>
      </c>
      <c r="N498">
        <f t="shared" ca="1" si="45"/>
        <v>0.84</v>
      </c>
      <c r="O498">
        <f t="shared" ca="1" si="46"/>
        <v>0</v>
      </c>
      <c r="P498">
        <f t="shared" ca="1" si="47"/>
        <v>67602.247199999998</v>
      </c>
    </row>
    <row r="499" spans="1:16" x14ac:dyDescent="0.3">
      <c r="A499" t="s">
        <v>830</v>
      </c>
      <c r="B499" t="s">
        <v>316</v>
      </c>
      <c r="C499" t="s">
        <v>70</v>
      </c>
      <c r="D499" t="s">
        <v>30</v>
      </c>
      <c r="E499" s="1">
        <v>45889</v>
      </c>
      <c r="F499">
        <v>71388.45</v>
      </c>
      <c r="G499">
        <v>5.77</v>
      </c>
      <c r="H499">
        <v>72</v>
      </c>
      <c r="I499" t="s">
        <v>14</v>
      </c>
      <c r="J499">
        <v>48544</v>
      </c>
      <c r="K499">
        <f t="shared" ca="1" si="42"/>
        <v>0</v>
      </c>
      <c r="L499">
        <f t="shared" ca="1" si="43"/>
        <v>0</v>
      </c>
      <c r="M499" t="str">
        <f t="shared" ca="1" si="44"/>
        <v>Low</v>
      </c>
      <c r="N499">
        <f t="shared" ca="1" si="45"/>
        <v>0.72</v>
      </c>
      <c r="O499">
        <f t="shared" ca="1" si="46"/>
        <v>0</v>
      </c>
      <c r="P499">
        <f t="shared" ca="1" si="47"/>
        <v>0</v>
      </c>
    </row>
    <row r="500" spans="1:16" x14ac:dyDescent="0.3">
      <c r="A500" t="s">
        <v>831</v>
      </c>
      <c r="B500" t="s">
        <v>375</v>
      </c>
      <c r="C500" t="s">
        <v>51</v>
      </c>
      <c r="D500" t="s">
        <v>26</v>
      </c>
      <c r="E500" s="1">
        <v>46171</v>
      </c>
      <c r="F500">
        <v>14111.56</v>
      </c>
      <c r="G500">
        <v>20.3</v>
      </c>
      <c r="H500">
        <v>360</v>
      </c>
      <c r="I500" t="s">
        <v>27</v>
      </c>
      <c r="J500">
        <v>0</v>
      </c>
      <c r="K500">
        <f t="shared" ca="1" si="42"/>
        <v>30</v>
      </c>
      <c r="L500">
        <f t="shared" ca="1" si="43"/>
        <v>0</v>
      </c>
      <c r="M500" t="str">
        <f t="shared" ca="1" si="44"/>
        <v>Medium</v>
      </c>
      <c r="N500">
        <f t="shared" ca="1" si="45"/>
        <v>18</v>
      </c>
      <c r="O500">
        <f t="shared" ca="1" si="46"/>
        <v>0</v>
      </c>
      <c r="P500">
        <f t="shared" ca="1" si="47"/>
        <v>10583.67</v>
      </c>
    </row>
    <row r="501" spans="1:16" x14ac:dyDescent="0.3">
      <c r="A501" t="s">
        <v>832</v>
      </c>
      <c r="B501" t="s">
        <v>162</v>
      </c>
      <c r="C501" t="s">
        <v>54</v>
      </c>
      <c r="D501" t="s">
        <v>75</v>
      </c>
      <c r="E501" s="1">
        <v>45342</v>
      </c>
      <c r="F501">
        <v>70943.39</v>
      </c>
      <c r="G501">
        <v>8.64</v>
      </c>
      <c r="H501">
        <v>72</v>
      </c>
      <c r="I501" t="s">
        <v>27</v>
      </c>
      <c r="J501">
        <v>0</v>
      </c>
      <c r="K501">
        <f t="shared" ca="1" si="42"/>
        <v>0</v>
      </c>
      <c r="L501">
        <f t="shared" ca="1" si="43"/>
        <v>0</v>
      </c>
      <c r="M501" t="str">
        <f t="shared" ca="1" si="44"/>
        <v>Low</v>
      </c>
      <c r="N501">
        <f t="shared" ca="1" si="45"/>
        <v>0.72</v>
      </c>
      <c r="O501">
        <f t="shared" ca="1" si="46"/>
        <v>0</v>
      </c>
      <c r="P501">
        <f t="shared" ca="1" si="47"/>
        <v>67396.220499999996</v>
      </c>
    </row>
    <row r="502" spans="1:16" x14ac:dyDescent="0.3">
      <c r="A502" t="s">
        <v>833</v>
      </c>
      <c r="B502" t="s">
        <v>834</v>
      </c>
      <c r="C502" t="s">
        <v>123</v>
      </c>
      <c r="D502" t="s">
        <v>18</v>
      </c>
      <c r="E502" s="1">
        <v>45542</v>
      </c>
      <c r="F502">
        <v>34178.370000000003</v>
      </c>
      <c r="G502">
        <v>4.53</v>
      </c>
      <c r="H502">
        <v>84</v>
      </c>
      <c r="I502" t="s">
        <v>14</v>
      </c>
      <c r="J502">
        <v>11962</v>
      </c>
      <c r="K502">
        <f t="shared" ca="1" si="42"/>
        <v>15</v>
      </c>
      <c r="L502">
        <f t="shared" ca="1" si="43"/>
        <v>0</v>
      </c>
      <c r="M502" t="str">
        <f t="shared" ca="1" si="44"/>
        <v>Low</v>
      </c>
      <c r="N502">
        <f t="shared" ca="1" si="45"/>
        <v>0.84</v>
      </c>
      <c r="O502">
        <f t="shared" ca="1" si="46"/>
        <v>0</v>
      </c>
      <c r="P502">
        <f t="shared" ca="1" si="47"/>
        <v>0</v>
      </c>
    </row>
    <row r="503" spans="1:16" x14ac:dyDescent="0.3">
      <c r="A503" t="s">
        <v>835</v>
      </c>
      <c r="B503" t="s">
        <v>591</v>
      </c>
      <c r="C503" t="s">
        <v>39</v>
      </c>
      <c r="D503" t="s">
        <v>22</v>
      </c>
      <c r="E503" s="1">
        <v>45585</v>
      </c>
      <c r="F503">
        <v>4952.8</v>
      </c>
      <c r="G503">
        <v>16.670000000000002</v>
      </c>
      <c r="H503">
        <v>24</v>
      </c>
      <c r="I503" t="s">
        <v>14</v>
      </c>
      <c r="J503">
        <v>4358</v>
      </c>
      <c r="K503">
        <f t="shared" ca="1" si="42"/>
        <v>0</v>
      </c>
      <c r="L503">
        <f t="shared" ca="1" si="43"/>
        <v>0</v>
      </c>
      <c r="M503" t="str">
        <f t="shared" ca="1" si="44"/>
        <v>Low</v>
      </c>
      <c r="N503">
        <f t="shared" ca="1" si="45"/>
        <v>0.24</v>
      </c>
      <c r="O503">
        <f t="shared" ca="1" si="46"/>
        <v>0</v>
      </c>
      <c r="P503">
        <f t="shared" ca="1" si="47"/>
        <v>6141.4720000000007</v>
      </c>
    </row>
    <row r="504" spans="1:16" x14ac:dyDescent="0.3">
      <c r="A504" t="s">
        <v>836</v>
      </c>
      <c r="B504" t="s">
        <v>837</v>
      </c>
      <c r="C504" t="s">
        <v>39</v>
      </c>
      <c r="D504" t="s">
        <v>26</v>
      </c>
      <c r="E504" s="1">
        <v>45999</v>
      </c>
      <c r="F504">
        <v>98772.05</v>
      </c>
      <c r="G504">
        <v>20.27</v>
      </c>
      <c r="H504">
        <v>240</v>
      </c>
      <c r="I504" t="s">
        <v>14</v>
      </c>
      <c r="J504">
        <v>67165</v>
      </c>
      <c r="K504">
        <f t="shared" ca="1" si="42"/>
        <v>45</v>
      </c>
      <c r="L504">
        <f t="shared" ca="1" si="43"/>
        <v>0</v>
      </c>
      <c r="M504" t="str">
        <f t="shared" ca="1" si="44"/>
        <v>Medium</v>
      </c>
      <c r="N504">
        <f t="shared" ca="1" si="45"/>
        <v>12</v>
      </c>
      <c r="O504">
        <f t="shared" ca="1" si="46"/>
        <v>0</v>
      </c>
      <c r="P504">
        <f t="shared" ca="1" si="47"/>
        <v>109636.9755</v>
      </c>
    </row>
    <row r="505" spans="1:16" x14ac:dyDescent="0.3">
      <c r="A505" t="s">
        <v>838</v>
      </c>
      <c r="B505" t="s">
        <v>839</v>
      </c>
      <c r="C505" t="s">
        <v>17</v>
      </c>
      <c r="D505" t="s">
        <v>30</v>
      </c>
      <c r="E505" s="1">
        <v>45963</v>
      </c>
      <c r="F505">
        <v>47231.58</v>
      </c>
      <c r="G505">
        <v>21.62</v>
      </c>
      <c r="H505">
        <v>72</v>
      </c>
      <c r="I505" t="s">
        <v>27</v>
      </c>
      <c r="J505">
        <v>0</v>
      </c>
      <c r="K505">
        <f t="shared" ca="1" si="42"/>
        <v>60</v>
      </c>
      <c r="L505">
        <f t="shared" ca="1" si="43"/>
        <v>0</v>
      </c>
      <c r="M505" t="str">
        <f t="shared" ca="1" si="44"/>
        <v>Medium</v>
      </c>
      <c r="N505">
        <f t="shared" ca="1" si="45"/>
        <v>7.2</v>
      </c>
      <c r="O505">
        <f t="shared" ca="1" si="46"/>
        <v>0</v>
      </c>
      <c r="P505">
        <f t="shared" ca="1" si="47"/>
        <v>0</v>
      </c>
    </row>
    <row r="506" spans="1:16" x14ac:dyDescent="0.3">
      <c r="A506" t="s">
        <v>840</v>
      </c>
      <c r="B506" t="s">
        <v>320</v>
      </c>
      <c r="C506" t="s">
        <v>12</v>
      </c>
      <c r="D506" t="s">
        <v>22</v>
      </c>
      <c r="E506" s="1">
        <v>45570</v>
      </c>
      <c r="F506">
        <v>50204.41</v>
      </c>
      <c r="G506">
        <v>21.11</v>
      </c>
      <c r="H506">
        <v>84</v>
      </c>
      <c r="I506" t="s">
        <v>27</v>
      </c>
      <c r="J506">
        <v>0</v>
      </c>
      <c r="K506">
        <f t="shared" ca="1" si="42"/>
        <v>0</v>
      </c>
      <c r="L506">
        <f t="shared" ca="1" si="43"/>
        <v>0</v>
      </c>
      <c r="M506" t="str">
        <f t="shared" ca="1" si="44"/>
        <v>Low</v>
      </c>
      <c r="N506">
        <f t="shared" ca="1" si="45"/>
        <v>0.84</v>
      </c>
      <c r="O506">
        <f t="shared" ca="1" si="46"/>
        <v>0</v>
      </c>
      <c r="P506">
        <f t="shared" ca="1" si="47"/>
        <v>58739.159700000004</v>
      </c>
    </row>
    <row r="507" spans="1:16" x14ac:dyDescent="0.3">
      <c r="A507" t="s">
        <v>841</v>
      </c>
      <c r="B507" t="s">
        <v>842</v>
      </c>
      <c r="C507" t="s">
        <v>25</v>
      </c>
      <c r="D507" t="s">
        <v>30</v>
      </c>
      <c r="E507" s="1">
        <v>45674</v>
      </c>
      <c r="F507">
        <v>60508.83</v>
      </c>
      <c r="G507">
        <v>19.32</v>
      </c>
      <c r="H507">
        <v>24</v>
      </c>
      <c r="I507" t="s">
        <v>14</v>
      </c>
      <c r="J507">
        <v>23598</v>
      </c>
      <c r="K507">
        <f t="shared" ca="1" si="42"/>
        <v>15</v>
      </c>
      <c r="L507">
        <f t="shared" ca="1" si="43"/>
        <v>0</v>
      </c>
      <c r="M507" t="str">
        <f t="shared" ca="1" si="44"/>
        <v>Low</v>
      </c>
      <c r="N507">
        <f t="shared" ca="1" si="45"/>
        <v>0.24</v>
      </c>
      <c r="O507">
        <f t="shared" ca="1" si="46"/>
        <v>0</v>
      </c>
      <c r="P507">
        <f t="shared" ca="1" si="47"/>
        <v>0</v>
      </c>
    </row>
    <row r="508" spans="1:16" x14ac:dyDescent="0.3">
      <c r="A508" t="s">
        <v>843</v>
      </c>
      <c r="B508" t="s">
        <v>844</v>
      </c>
      <c r="C508" t="s">
        <v>39</v>
      </c>
      <c r="D508" t="s">
        <v>75</v>
      </c>
      <c r="E508" s="1">
        <v>45860</v>
      </c>
      <c r="F508">
        <v>91856.51</v>
      </c>
      <c r="G508">
        <v>15.79</v>
      </c>
      <c r="H508">
        <v>360</v>
      </c>
      <c r="I508" t="s">
        <v>14</v>
      </c>
      <c r="J508">
        <v>69811</v>
      </c>
      <c r="K508">
        <f t="shared" ca="1" si="42"/>
        <v>120</v>
      </c>
      <c r="L508">
        <f t="shared" ca="1" si="43"/>
        <v>1</v>
      </c>
      <c r="M508" t="str">
        <f t="shared" ca="1" si="44"/>
        <v>High</v>
      </c>
      <c r="N508">
        <f t="shared" ca="1" si="45"/>
        <v>90</v>
      </c>
      <c r="O508">
        <f t="shared" ca="1" si="46"/>
        <v>72</v>
      </c>
      <c r="P508">
        <f t="shared" ca="1" si="47"/>
        <v>107472.1167</v>
      </c>
    </row>
    <row r="509" spans="1:16" x14ac:dyDescent="0.3">
      <c r="A509" t="s">
        <v>845</v>
      </c>
      <c r="B509" t="s">
        <v>134</v>
      </c>
      <c r="C509" t="s">
        <v>123</v>
      </c>
      <c r="D509" t="s">
        <v>18</v>
      </c>
      <c r="E509" s="1">
        <v>45600</v>
      </c>
      <c r="F509">
        <v>30678.55</v>
      </c>
      <c r="G509">
        <v>16.97</v>
      </c>
      <c r="H509">
        <v>360</v>
      </c>
      <c r="I509" t="s">
        <v>27</v>
      </c>
      <c r="J509">
        <v>0</v>
      </c>
      <c r="K509">
        <f t="shared" ca="1" si="42"/>
        <v>0</v>
      </c>
      <c r="L509">
        <f t="shared" ca="1" si="43"/>
        <v>0</v>
      </c>
      <c r="M509" t="str">
        <f t="shared" ca="1" si="44"/>
        <v>Low</v>
      </c>
      <c r="N509">
        <f t="shared" ca="1" si="45"/>
        <v>3.6</v>
      </c>
      <c r="O509">
        <f t="shared" ca="1" si="46"/>
        <v>0</v>
      </c>
      <c r="P509">
        <f t="shared" ca="1" si="47"/>
        <v>0</v>
      </c>
    </row>
    <row r="510" spans="1:16" x14ac:dyDescent="0.3">
      <c r="A510" t="s">
        <v>846</v>
      </c>
      <c r="B510" t="s">
        <v>38</v>
      </c>
      <c r="C510" t="s">
        <v>12</v>
      </c>
      <c r="D510" t="s">
        <v>22</v>
      </c>
      <c r="E510" s="1">
        <v>46097</v>
      </c>
      <c r="F510">
        <v>12603.39</v>
      </c>
      <c r="G510">
        <v>20.29</v>
      </c>
      <c r="H510">
        <v>12</v>
      </c>
      <c r="I510" t="s">
        <v>14</v>
      </c>
      <c r="J510">
        <v>7436</v>
      </c>
      <c r="K510">
        <f t="shared" ca="1" si="42"/>
        <v>45</v>
      </c>
      <c r="L510">
        <f t="shared" ca="1" si="43"/>
        <v>0</v>
      </c>
      <c r="M510" t="str">
        <f t="shared" ca="1" si="44"/>
        <v>Medium</v>
      </c>
      <c r="N510">
        <f t="shared" ca="1" si="45"/>
        <v>0.60000000000000009</v>
      </c>
      <c r="O510">
        <f t="shared" ca="1" si="46"/>
        <v>0</v>
      </c>
      <c r="P510">
        <f t="shared" ca="1" si="47"/>
        <v>9578.5763999999981</v>
      </c>
    </row>
    <row r="511" spans="1:16" x14ac:dyDescent="0.3">
      <c r="A511" t="s">
        <v>847</v>
      </c>
      <c r="B511" t="s">
        <v>373</v>
      </c>
      <c r="C511" t="s">
        <v>17</v>
      </c>
      <c r="D511" t="s">
        <v>26</v>
      </c>
      <c r="E511" s="1">
        <v>45468</v>
      </c>
      <c r="F511">
        <v>77228.789999999994</v>
      </c>
      <c r="G511">
        <v>4.01</v>
      </c>
      <c r="H511">
        <v>48</v>
      </c>
      <c r="I511" t="s">
        <v>14</v>
      </c>
      <c r="J511">
        <v>67189</v>
      </c>
      <c r="K511">
        <f t="shared" ca="1" si="42"/>
        <v>30</v>
      </c>
      <c r="L511">
        <f t="shared" ca="1" si="43"/>
        <v>0</v>
      </c>
      <c r="M511" t="str">
        <f t="shared" ca="1" si="44"/>
        <v>Medium</v>
      </c>
      <c r="N511">
        <f t="shared" ca="1" si="45"/>
        <v>2.4000000000000004</v>
      </c>
      <c r="O511">
        <f t="shared" ca="1" si="46"/>
        <v>0</v>
      </c>
      <c r="P511">
        <f t="shared" ca="1" si="47"/>
        <v>93446.835900000005</v>
      </c>
    </row>
    <row r="512" spans="1:16" x14ac:dyDescent="0.3">
      <c r="A512" t="s">
        <v>848</v>
      </c>
      <c r="B512" t="s">
        <v>195</v>
      </c>
      <c r="C512" t="s">
        <v>25</v>
      </c>
      <c r="D512" t="s">
        <v>30</v>
      </c>
      <c r="E512" s="1">
        <v>45758</v>
      </c>
      <c r="F512">
        <v>4543.26</v>
      </c>
      <c r="G512">
        <v>20.78</v>
      </c>
      <c r="H512">
        <v>240</v>
      </c>
      <c r="I512" t="s">
        <v>14</v>
      </c>
      <c r="J512">
        <v>2544</v>
      </c>
      <c r="K512">
        <f t="shared" ca="1" si="42"/>
        <v>0</v>
      </c>
      <c r="L512">
        <f t="shared" ca="1" si="43"/>
        <v>0</v>
      </c>
      <c r="M512" t="str">
        <f t="shared" ca="1" si="44"/>
        <v>Low</v>
      </c>
      <c r="N512">
        <f t="shared" ca="1" si="45"/>
        <v>2.4</v>
      </c>
      <c r="O512">
        <f t="shared" ca="1" si="46"/>
        <v>0</v>
      </c>
      <c r="P512">
        <f t="shared" ca="1" si="47"/>
        <v>0</v>
      </c>
    </row>
    <row r="513" spans="1:16" x14ac:dyDescent="0.3">
      <c r="A513" t="s">
        <v>849</v>
      </c>
      <c r="B513" t="s">
        <v>122</v>
      </c>
      <c r="C513" t="s">
        <v>36</v>
      </c>
      <c r="D513" t="s">
        <v>13</v>
      </c>
      <c r="E513" s="1">
        <v>46168</v>
      </c>
      <c r="F513">
        <v>38077.019999999997</v>
      </c>
      <c r="G513">
        <v>15.68</v>
      </c>
      <c r="H513">
        <v>36</v>
      </c>
      <c r="I513" t="s">
        <v>27</v>
      </c>
      <c r="J513">
        <v>0</v>
      </c>
      <c r="K513">
        <f t="shared" ca="1" si="42"/>
        <v>0</v>
      </c>
      <c r="L513">
        <f t="shared" ca="1" si="43"/>
        <v>0</v>
      </c>
      <c r="M513" t="str">
        <f t="shared" ca="1" si="44"/>
        <v>Low</v>
      </c>
      <c r="N513">
        <f t="shared" ca="1" si="45"/>
        <v>0.36</v>
      </c>
      <c r="O513">
        <f t="shared" ca="1" si="46"/>
        <v>0</v>
      </c>
      <c r="P513">
        <f t="shared" ca="1" si="47"/>
        <v>0</v>
      </c>
    </row>
    <row r="514" spans="1:16" x14ac:dyDescent="0.3">
      <c r="A514" t="s">
        <v>850</v>
      </c>
      <c r="B514" t="s">
        <v>242</v>
      </c>
      <c r="C514" t="s">
        <v>17</v>
      </c>
      <c r="D514" t="s">
        <v>18</v>
      </c>
      <c r="E514" s="1">
        <v>46076</v>
      </c>
      <c r="F514">
        <v>15570.48</v>
      </c>
      <c r="G514">
        <v>14.77</v>
      </c>
      <c r="H514">
        <v>84</v>
      </c>
      <c r="I514" t="s">
        <v>14</v>
      </c>
      <c r="J514">
        <v>8097</v>
      </c>
      <c r="K514">
        <f t="shared" ca="1" si="42"/>
        <v>0</v>
      </c>
      <c r="L514">
        <f t="shared" ca="1" si="43"/>
        <v>0</v>
      </c>
      <c r="M514" t="str">
        <f t="shared" ca="1" si="44"/>
        <v>Low</v>
      </c>
      <c r="N514">
        <f t="shared" ca="1" si="45"/>
        <v>0.84</v>
      </c>
      <c r="O514">
        <f t="shared" ca="1" si="46"/>
        <v>0</v>
      </c>
      <c r="P514">
        <f t="shared" ca="1" si="47"/>
        <v>0</v>
      </c>
    </row>
    <row r="515" spans="1:16" x14ac:dyDescent="0.3">
      <c r="A515" t="s">
        <v>851</v>
      </c>
      <c r="B515" t="s">
        <v>84</v>
      </c>
      <c r="C515" t="s">
        <v>70</v>
      </c>
      <c r="D515" t="s">
        <v>30</v>
      </c>
      <c r="E515" s="1">
        <v>45706</v>
      </c>
      <c r="F515">
        <v>62165.81</v>
      </c>
      <c r="G515">
        <v>21.12</v>
      </c>
      <c r="H515">
        <v>48</v>
      </c>
      <c r="I515" t="s">
        <v>14</v>
      </c>
      <c r="J515">
        <v>47868</v>
      </c>
      <c r="K515">
        <f t="shared" ref="K515:K578" ca="1" si="48">IF(I515="Paid Off",0,CHOOSE(RANDBETWEEN(1,10),0,0,0,0,15,30,45,60,90,120))</f>
        <v>30</v>
      </c>
      <c r="L515">
        <f t="shared" ref="L515:L578" ca="1" si="49">IF(K515&gt;=90,1,0)</f>
        <v>0</v>
      </c>
      <c r="M515" t="str">
        <f t="shared" ref="M515:M578" ca="1" si="50">IF(K515&gt;=90,"High",IF(K515&gt;=30,"Medium","Low"))</f>
        <v>Medium</v>
      </c>
      <c r="N515">
        <f t="shared" ref="N515:N578" ca="1" si="51">IF(L515=1,H515*0.25,IF(K515&gt;=60,H515*0.1,IF(K515&gt;=30,H515*0.05,H515*0.01)))</f>
        <v>2.4000000000000004</v>
      </c>
      <c r="O515">
        <f t="shared" ref="O515:O578" ca="1" si="52">IF(L515=1,H515*RANDBETWEEN(5,30)/100,0)</f>
        <v>0</v>
      </c>
      <c r="P515">
        <f t="shared" ref="P515:P578" ca="1" si="53">IF(OR(D515="P02",D515="P03",D515="P05"),F515*RANDBETWEEN(70,130)/100,0)</f>
        <v>0</v>
      </c>
    </row>
    <row r="516" spans="1:16" x14ac:dyDescent="0.3">
      <c r="A516" t="s">
        <v>852</v>
      </c>
      <c r="B516" t="s">
        <v>853</v>
      </c>
      <c r="C516" t="s">
        <v>123</v>
      </c>
      <c r="D516" t="s">
        <v>13</v>
      </c>
      <c r="E516" s="1">
        <v>45386</v>
      </c>
      <c r="F516">
        <v>89334.74</v>
      </c>
      <c r="G516">
        <v>18.239999999999998</v>
      </c>
      <c r="H516">
        <v>240</v>
      </c>
      <c r="I516" t="s">
        <v>14</v>
      </c>
      <c r="J516">
        <v>50027</v>
      </c>
      <c r="K516">
        <f t="shared" ca="1" si="48"/>
        <v>0</v>
      </c>
      <c r="L516">
        <f t="shared" ca="1" si="49"/>
        <v>0</v>
      </c>
      <c r="M516" t="str">
        <f t="shared" ca="1" si="50"/>
        <v>Low</v>
      </c>
      <c r="N516">
        <f t="shared" ca="1" si="51"/>
        <v>2.4</v>
      </c>
      <c r="O516">
        <f t="shared" ca="1" si="52"/>
        <v>0</v>
      </c>
      <c r="P516">
        <f t="shared" ca="1" si="53"/>
        <v>0</v>
      </c>
    </row>
    <row r="517" spans="1:16" x14ac:dyDescent="0.3">
      <c r="A517" t="s">
        <v>854</v>
      </c>
      <c r="B517" t="s">
        <v>265</v>
      </c>
      <c r="C517" t="s">
        <v>36</v>
      </c>
      <c r="D517" t="s">
        <v>26</v>
      </c>
      <c r="E517" s="1">
        <v>45840</v>
      </c>
      <c r="F517">
        <v>6490.42</v>
      </c>
      <c r="G517">
        <v>7.09</v>
      </c>
      <c r="H517">
        <v>72</v>
      </c>
      <c r="I517" t="s">
        <v>14</v>
      </c>
      <c r="J517">
        <v>5841</v>
      </c>
      <c r="K517">
        <f t="shared" ca="1" si="48"/>
        <v>45</v>
      </c>
      <c r="L517">
        <f t="shared" ca="1" si="49"/>
        <v>0</v>
      </c>
      <c r="M517" t="str">
        <f t="shared" ca="1" si="50"/>
        <v>Medium</v>
      </c>
      <c r="N517">
        <f t="shared" ca="1" si="51"/>
        <v>3.6</v>
      </c>
      <c r="O517">
        <f t="shared" ca="1" si="52"/>
        <v>0</v>
      </c>
      <c r="P517">
        <f t="shared" ca="1" si="53"/>
        <v>4802.9108000000006</v>
      </c>
    </row>
    <row r="518" spans="1:16" x14ac:dyDescent="0.3">
      <c r="A518" t="s">
        <v>855</v>
      </c>
      <c r="B518" t="s">
        <v>345</v>
      </c>
      <c r="C518" t="s">
        <v>70</v>
      </c>
      <c r="D518" t="s">
        <v>22</v>
      </c>
      <c r="E518" s="1">
        <v>45371</v>
      </c>
      <c r="F518">
        <v>56965.7</v>
      </c>
      <c r="G518">
        <v>19.68</v>
      </c>
      <c r="H518">
        <v>84</v>
      </c>
      <c r="I518" t="s">
        <v>14</v>
      </c>
      <c r="J518">
        <v>48421</v>
      </c>
      <c r="K518">
        <f t="shared" ca="1" si="48"/>
        <v>30</v>
      </c>
      <c r="L518">
        <f t="shared" ca="1" si="49"/>
        <v>0</v>
      </c>
      <c r="M518" t="str">
        <f t="shared" ca="1" si="50"/>
        <v>Medium</v>
      </c>
      <c r="N518">
        <f t="shared" ca="1" si="51"/>
        <v>4.2</v>
      </c>
      <c r="O518">
        <f t="shared" ca="1" si="52"/>
        <v>0</v>
      </c>
      <c r="P518">
        <f t="shared" ca="1" si="53"/>
        <v>71207.125</v>
      </c>
    </row>
    <row r="519" spans="1:16" x14ac:dyDescent="0.3">
      <c r="A519" t="s">
        <v>856</v>
      </c>
      <c r="B519" t="s">
        <v>857</v>
      </c>
      <c r="C519" t="s">
        <v>123</v>
      </c>
      <c r="D519" t="s">
        <v>18</v>
      </c>
      <c r="E519" s="1">
        <v>45417</v>
      </c>
      <c r="F519">
        <v>21887.65</v>
      </c>
      <c r="G519">
        <v>5.52</v>
      </c>
      <c r="H519">
        <v>360</v>
      </c>
      <c r="I519" t="s">
        <v>27</v>
      </c>
      <c r="J519">
        <v>0</v>
      </c>
      <c r="K519">
        <f t="shared" ca="1" si="48"/>
        <v>0</v>
      </c>
      <c r="L519">
        <f t="shared" ca="1" si="49"/>
        <v>0</v>
      </c>
      <c r="M519" t="str">
        <f t="shared" ca="1" si="50"/>
        <v>Low</v>
      </c>
      <c r="N519">
        <f t="shared" ca="1" si="51"/>
        <v>3.6</v>
      </c>
      <c r="O519">
        <f t="shared" ca="1" si="52"/>
        <v>0</v>
      </c>
      <c r="P519">
        <f t="shared" ca="1" si="53"/>
        <v>0</v>
      </c>
    </row>
    <row r="520" spans="1:16" x14ac:dyDescent="0.3">
      <c r="A520" t="s">
        <v>858</v>
      </c>
      <c r="B520" t="s">
        <v>859</v>
      </c>
      <c r="C520" t="s">
        <v>123</v>
      </c>
      <c r="D520" t="s">
        <v>22</v>
      </c>
      <c r="E520" s="1">
        <v>45450</v>
      </c>
      <c r="F520">
        <v>66958.05</v>
      </c>
      <c r="G520">
        <v>6.16</v>
      </c>
      <c r="H520">
        <v>240</v>
      </c>
      <c r="I520" t="s">
        <v>14</v>
      </c>
      <c r="J520">
        <v>32140</v>
      </c>
      <c r="K520">
        <f t="shared" ca="1" si="48"/>
        <v>90</v>
      </c>
      <c r="L520">
        <f t="shared" ca="1" si="49"/>
        <v>1</v>
      </c>
      <c r="M520" t="str">
        <f t="shared" ca="1" si="50"/>
        <v>High</v>
      </c>
      <c r="N520">
        <f t="shared" ca="1" si="51"/>
        <v>60</v>
      </c>
      <c r="O520">
        <f t="shared" ca="1" si="52"/>
        <v>48</v>
      </c>
      <c r="P520">
        <f t="shared" ca="1" si="53"/>
        <v>54236.020499999999</v>
      </c>
    </row>
    <row r="521" spans="1:16" x14ac:dyDescent="0.3">
      <c r="A521" t="s">
        <v>860</v>
      </c>
      <c r="B521" t="s">
        <v>691</v>
      </c>
      <c r="C521" t="s">
        <v>12</v>
      </c>
      <c r="D521" t="s">
        <v>26</v>
      </c>
      <c r="E521" s="1">
        <v>45666</v>
      </c>
      <c r="F521">
        <v>54581.4</v>
      </c>
      <c r="G521">
        <v>14.34</v>
      </c>
      <c r="H521">
        <v>360</v>
      </c>
      <c r="I521" t="s">
        <v>27</v>
      </c>
      <c r="J521">
        <v>0</v>
      </c>
      <c r="K521">
        <f t="shared" ca="1" si="48"/>
        <v>30</v>
      </c>
      <c r="L521">
        <f t="shared" ca="1" si="49"/>
        <v>0</v>
      </c>
      <c r="M521" t="str">
        <f t="shared" ca="1" si="50"/>
        <v>Medium</v>
      </c>
      <c r="N521">
        <f t="shared" ca="1" si="51"/>
        <v>18</v>
      </c>
      <c r="O521">
        <f t="shared" ca="1" si="52"/>
        <v>0</v>
      </c>
      <c r="P521">
        <f t="shared" ca="1" si="53"/>
        <v>51306.516000000003</v>
      </c>
    </row>
    <row r="522" spans="1:16" x14ac:dyDescent="0.3">
      <c r="A522" t="s">
        <v>861</v>
      </c>
      <c r="B522" t="s">
        <v>330</v>
      </c>
      <c r="C522" t="s">
        <v>25</v>
      </c>
      <c r="D522" t="s">
        <v>30</v>
      </c>
      <c r="E522" s="1">
        <v>45482</v>
      </c>
      <c r="F522">
        <v>40362.639999999999</v>
      </c>
      <c r="G522">
        <v>6.77</v>
      </c>
      <c r="H522">
        <v>120</v>
      </c>
      <c r="I522" t="s">
        <v>14</v>
      </c>
      <c r="J522">
        <v>27850</v>
      </c>
      <c r="K522">
        <f t="shared" ca="1" si="48"/>
        <v>0</v>
      </c>
      <c r="L522">
        <f t="shared" ca="1" si="49"/>
        <v>0</v>
      </c>
      <c r="M522" t="str">
        <f t="shared" ca="1" si="50"/>
        <v>Low</v>
      </c>
      <c r="N522">
        <f t="shared" ca="1" si="51"/>
        <v>1.2</v>
      </c>
      <c r="O522">
        <f t="shared" ca="1" si="52"/>
        <v>0</v>
      </c>
      <c r="P522">
        <f t="shared" ca="1" si="53"/>
        <v>0</v>
      </c>
    </row>
    <row r="523" spans="1:16" x14ac:dyDescent="0.3">
      <c r="A523" t="s">
        <v>862</v>
      </c>
      <c r="B523" t="s">
        <v>554</v>
      </c>
      <c r="C523" t="s">
        <v>54</v>
      </c>
      <c r="D523" t="s">
        <v>18</v>
      </c>
      <c r="E523" s="1">
        <v>45581</v>
      </c>
      <c r="F523">
        <v>26313.5</v>
      </c>
      <c r="G523">
        <v>7.98</v>
      </c>
      <c r="H523">
        <v>48</v>
      </c>
      <c r="I523" t="s">
        <v>19</v>
      </c>
      <c r="J523">
        <v>0</v>
      </c>
      <c r="K523">
        <f t="shared" ca="1" si="48"/>
        <v>0</v>
      </c>
      <c r="L523">
        <f t="shared" ca="1" si="49"/>
        <v>0</v>
      </c>
      <c r="M523" t="str">
        <f t="shared" ca="1" si="50"/>
        <v>Low</v>
      </c>
      <c r="N523">
        <f t="shared" ca="1" si="51"/>
        <v>0.48</v>
      </c>
      <c r="O523">
        <f t="shared" ca="1" si="52"/>
        <v>0</v>
      </c>
      <c r="P523">
        <f t="shared" ca="1" si="53"/>
        <v>0</v>
      </c>
    </row>
    <row r="524" spans="1:16" x14ac:dyDescent="0.3">
      <c r="A524" t="s">
        <v>863</v>
      </c>
      <c r="B524" t="s">
        <v>864</v>
      </c>
      <c r="C524" t="s">
        <v>36</v>
      </c>
      <c r="D524" t="s">
        <v>22</v>
      </c>
      <c r="E524" s="1">
        <v>45307</v>
      </c>
      <c r="F524">
        <v>39127.769999999997</v>
      </c>
      <c r="G524">
        <v>15.87</v>
      </c>
      <c r="H524">
        <v>12</v>
      </c>
      <c r="I524" t="s">
        <v>14</v>
      </c>
      <c r="J524">
        <v>36389</v>
      </c>
      <c r="K524">
        <f t="shared" ca="1" si="48"/>
        <v>30</v>
      </c>
      <c r="L524">
        <f t="shared" ca="1" si="49"/>
        <v>0</v>
      </c>
      <c r="M524" t="str">
        <f t="shared" ca="1" si="50"/>
        <v>Medium</v>
      </c>
      <c r="N524">
        <f t="shared" ca="1" si="51"/>
        <v>0.60000000000000009</v>
      </c>
      <c r="O524">
        <f t="shared" ca="1" si="52"/>
        <v>0</v>
      </c>
      <c r="P524">
        <f t="shared" ca="1" si="53"/>
        <v>49692.267899999999</v>
      </c>
    </row>
    <row r="525" spans="1:16" x14ac:dyDescent="0.3">
      <c r="A525" t="s">
        <v>865</v>
      </c>
      <c r="B525" t="s">
        <v>229</v>
      </c>
      <c r="C525" t="s">
        <v>70</v>
      </c>
      <c r="D525" t="s">
        <v>22</v>
      </c>
      <c r="E525" s="1">
        <v>45306</v>
      </c>
      <c r="F525">
        <v>17582.759999999998</v>
      </c>
      <c r="G525">
        <v>12.13</v>
      </c>
      <c r="H525">
        <v>48</v>
      </c>
      <c r="I525" t="s">
        <v>27</v>
      </c>
      <c r="J525">
        <v>0</v>
      </c>
      <c r="K525">
        <f t="shared" ca="1" si="48"/>
        <v>45</v>
      </c>
      <c r="L525">
        <f t="shared" ca="1" si="49"/>
        <v>0</v>
      </c>
      <c r="M525" t="str">
        <f t="shared" ca="1" si="50"/>
        <v>Medium</v>
      </c>
      <c r="N525">
        <f t="shared" ca="1" si="51"/>
        <v>2.4000000000000004</v>
      </c>
      <c r="O525">
        <f t="shared" ca="1" si="52"/>
        <v>0</v>
      </c>
      <c r="P525">
        <f t="shared" ca="1" si="53"/>
        <v>22505.932799999999</v>
      </c>
    </row>
    <row r="526" spans="1:16" x14ac:dyDescent="0.3">
      <c r="A526" t="s">
        <v>866</v>
      </c>
      <c r="B526" t="s">
        <v>59</v>
      </c>
      <c r="C526" t="s">
        <v>39</v>
      </c>
      <c r="D526" t="s">
        <v>75</v>
      </c>
      <c r="E526" s="1">
        <v>45305</v>
      </c>
      <c r="F526">
        <v>47280.36</v>
      </c>
      <c r="G526">
        <v>15.98</v>
      </c>
      <c r="H526">
        <v>180</v>
      </c>
      <c r="I526" t="s">
        <v>14</v>
      </c>
      <c r="J526">
        <v>16548</v>
      </c>
      <c r="K526">
        <f t="shared" ca="1" si="48"/>
        <v>0</v>
      </c>
      <c r="L526">
        <f t="shared" ca="1" si="49"/>
        <v>0</v>
      </c>
      <c r="M526" t="str">
        <f t="shared" ca="1" si="50"/>
        <v>Low</v>
      </c>
      <c r="N526">
        <f t="shared" ca="1" si="51"/>
        <v>1.8</v>
      </c>
      <c r="O526">
        <f t="shared" ca="1" si="52"/>
        <v>0</v>
      </c>
      <c r="P526">
        <f t="shared" ca="1" si="53"/>
        <v>53426.806799999998</v>
      </c>
    </row>
    <row r="527" spans="1:16" x14ac:dyDescent="0.3">
      <c r="A527" t="s">
        <v>867</v>
      </c>
      <c r="B527" t="s">
        <v>499</v>
      </c>
      <c r="C527" t="s">
        <v>70</v>
      </c>
      <c r="D527" t="s">
        <v>22</v>
      </c>
      <c r="E527" s="1">
        <v>46003</v>
      </c>
      <c r="F527">
        <v>12691.83</v>
      </c>
      <c r="G527">
        <v>9.64</v>
      </c>
      <c r="H527">
        <v>240</v>
      </c>
      <c r="I527" t="s">
        <v>14</v>
      </c>
      <c r="J527">
        <v>10280</v>
      </c>
      <c r="K527">
        <f t="shared" ca="1" si="48"/>
        <v>90</v>
      </c>
      <c r="L527">
        <f t="shared" ca="1" si="49"/>
        <v>1</v>
      </c>
      <c r="M527" t="str">
        <f t="shared" ca="1" si="50"/>
        <v>High</v>
      </c>
      <c r="N527">
        <f t="shared" ca="1" si="51"/>
        <v>60</v>
      </c>
      <c r="O527">
        <f t="shared" ca="1" si="52"/>
        <v>21.6</v>
      </c>
      <c r="P527">
        <f t="shared" ca="1" si="53"/>
        <v>9391.9542000000001</v>
      </c>
    </row>
    <row r="528" spans="1:16" x14ac:dyDescent="0.3">
      <c r="A528" t="s">
        <v>868</v>
      </c>
      <c r="B528" t="s">
        <v>772</v>
      </c>
      <c r="C528" t="s">
        <v>36</v>
      </c>
      <c r="D528" t="s">
        <v>18</v>
      </c>
      <c r="E528" s="1">
        <v>45975</v>
      </c>
      <c r="F528">
        <v>37350.68</v>
      </c>
      <c r="G528">
        <v>6.31</v>
      </c>
      <c r="H528">
        <v>60</v>
      </c>
      <c r="I528" t="s">
        <v>14</v>
      </c>
      <c r="J528">
        <v>22784</v>
      </c>
      <c r="K528">
        <f t="shared" ca="1" si="48"/>
        <v>90</v>
      </c>
      <c r="L528">
        <f t="shared" ca="1" si="49"/>
        <v>1</v>
      </c>
      <c r="M528" t="str">
        <f t="shared" ca="1" si="50"/>
        <v>High</v>
      </c>
      <c r="N528">
        <f t="shared" ca="1" si="51"/>
        <v>15</v>
      </c>
      <c r="O528">
        <f t="shared" ca="1" si="52"/>
        <v>16.8</v>
      </c>
      <c r="P528">
        <f t="shared" ca="1" si="53"/>
        <v>0</v>
      </c>
    </row>
    <row r="529" spans="1:16" x14ac:dyDescent="0.3">
      <c r="A529" t="s">
        <v>869</v>
      </c>
      <c r="B529" t="s">
        <v>236</v>
      </c>
      <c r="C529" t="s">
        <v>33</v>
      </c>
      <c r="D529" t="s">
        <v>22</v>
      </c>
      <c r="E529" s="1">
        <v>45622</v>
      </c>
      <c r="F529">
        <v>98315.25</v>
      </c>
      <c r="G529">
        <v>8.48</v>
      </c>
      <c r="H529">
        <v>360</v>
      </c>
      <c r="I529" t="s">
        <v>27</v>
      </c>
      <c r="J529">
        <v>0</v>
      </c>
      <c r="K529">
        <f t="shared" ca="1" si="48"/>
        <v>15</v>
      </c>
      <c r="L529">
        <f t="shared" ca="1" si="49"/>
        <v>0</v>
      </c>
      <c r="M529" t="str">
        <f t="shared" ca="1" si="50"/>
        <v>Low</v>
      </c>
      <c r="N529">
        <f t="shared" ca="1" si="51"/>
        <v>3.6</v>
      </c>
      <c r="O529">
        <f t="shared" ca="1" si="52"/>
        <v>0</v>
      </c>
      <c r="P529">
        <f t="shared" ca="1" si="53"/>
        <v>99298.402499999997</v>
      </c>
    </row>
    <row r="530" spans="1:16" x14ac:dyDescent="0.3">
      <c r="A530" t="s">
        <v>870</v>
      </c>
      <c r="B530" t="s">
        <v>871</v>
      </c>
      <c r="C530" t="s">
        <v>51</v>
      </c>
      <c r="D530" t="s">
        <v>26</v>
      </c>
      <c r="E530" s="1">
        <v>45531</v>
      </c>
      <c r="F530">
        <v>19035.96</v>
      </c>
      <c r="G530">
        <v>16.75</v>
      </c>
      <c r="H530">
        <v>120</v>
      </c>
      <c r="I530" t="s">
        <v>19</v>
      </c>
      <c r="J530">
        <v>0</v>
      </c>
      <c r="K530">
        <f t="shared" ca="1" si="48"/>
        <v>0</v>
      </c>
      <c r="L530">
        <f t="shared" ca="1" si="49"/>
        <v>0</v>
      </c>
      <c r="M530" t="str">
        <f t="shared" ca="1" si="50"/>
        <v>Low</v>
      </c>
      <c r="N530">
        <f t="shared" ca="1" si="51"/>
        <v>1.2</v>
      </c>
      <c r="O530">
        <f t="shared" ca="1" si="52"/>
        <v>0</v>
      </c>
      <c r="P530">
        <f t="shared" ca="1" si="53"/>
        <v>24746.748</v>
      </c>
    </row>
    <row r="531" spans="1:16" x14ac:dyDescent="0.3">
      <c r="A531" t="s">
        <v>872</v>
      </c>
      <c r="B531" t="s">
        <v>94</v>
      </c>
      <c r="C531" t="s">
        <v>39</v>
      </c>
      <c r="D531" t="s">
        <v>13</v>
      </c>
      <c r="E531" s="1">
        <v>45931</v>
      </c>
      <c r="F531">
        <v>69592.44</v>
      </c>
      <c r="G531">
        <v>11.93</v>
      </c>
      <c r="H531">
        <v>180</v>
      </c>
      <c r="I531" t="s">
        <v>14</v>
      </c>
      <c r="J531">
        <v>64025</v>
      </c>
      <c r="K531">
        <f t="shared" ca="1" si="48"/>
        <v>30</v>
      </c>
      <c r="L531">
        <f t="shared" ca="1" si="49"/>
        <v>0</v>
      </c>
      <c r="M531" t="str">
        <f t="shared" ca="1" si="50"/>
        <v>Medium</v>
      </c>
      <c r="N531">
        <f t="shared" ca="1" si="51"/>
        <v>9</v>
      </c>
      <c r="O531">
        <f t="shared" ca="1" si="52"/>
        <v>0</v>
      </c>
      <c r="P531">
        <f t="shared" ca="1" si="53"/>
        <v>0</v>
      </c>
    </row>
    <row r="532" spans="1:16" x14ac:dyDescent="0.3">
      <c r="A532" t="s">
        <v>873</v>
      </c>
      <c r="B532" t="s">
        <v>874</v>
      </c>
      <c r="C532" t="s">
        <v>17</v>
      </c>
      <c r="D532" t="s">
        <v>30</v>
      </c>
      <c r="E532" s="1">
        <v>45315</v>
      </c>
      <c r="F532">
        <v>69548.33</v>
      </c>
      <c r="G532">
        <v>10.42</v>
      </c>
      <c r="H532">
        <v>72</v>
      </c>
      <c r="I532" t="s">
        <v>14</v>
      </c>
      <c r="J532">
        <v>27819</v>
      </c>
      <c r="K532">
        <f t="shared" ca="1" si="48"/>
        <v>15</v>
      </c>
      <c r="L532">
        <f t="shared" ca="1" si="49"/>
        <v>0</v>
      </c>
      <c r="M532" t="str">
        <f t="shared" ca="1" si="50"/>
        <v>Low</v>
      </c>
      <c r="N532">
        <f t="shared" ca="1" si="51"/>
        <v>0.72</v>
      </c>
      <c r="O532">
        <f t="shared" ca="1" si="52"/>
        <v>0</v>
      </c>
      <c r="P532">
        <f t="shared" ca="1" si="53"/>
        <v>0</v>
      </c>
    </row>
    <row r="533" spans="1:16" x14ac:dyDescent="0.3">
      <c r="A533" t="s">
        <v>875</v>
      </c>
      <c r="B533" t="s">
        <v>517</v>
      </c>
      <c r="C533" t="s">
        <v>54</v>
      </c>
      <c r="D533" t="s">
        <v>75</v>
      </c>
      <c r="E533" s="1">
        <v>45447</v>
      </c>
      <c r="F533">
        <v>77345.240000000005</v>
      </c>
      <c r="G533">
        <v>14.46</v>
      </c>
      <c r="H533">
        <v>60</v>
      </c>
      <c r="I533" t="s">
        <v>19</v>
      </c>
      <c r="J533">
        <v>0</v>
      </c>
      <c r="K533">
        <f t="shared" ca="1" si="48"/>
        <v>0</v>
      </c>
      <c r="L533">
        <f t="shared" ca="1" si="49"/>
        <v>0</v>
      </c>
      <c r="M533" t="str">
        <f t="shared" ca="1" si="50"/>
        <v>Low</v>
      </c>
      <c r="N533">
        <f t="shared" ca="1" si="51"/>
        <v>0.6</v>
      </c>
      <c r="O533">
        <f t="shared" ca="1" si="52"/>
        <v>0</v>
      </c>
      <c r="P533">
        <f t="shared" ca="1" si="53"/>
        <v>64196.549200000009</v>
      </c>
    </row>
    <row r="534" spans="1:16" x14ac:dyDescent="0.3">
      <c r="A534" t="s">
        <v>876</v>
      </c>
      <c r="B534" t="s">
        <v>877</v>
      </c>
      <c r="C534" t="s">
        <v>39</v>
      </c>
      <c r="D534" t="s">
        <v>30</v>
      </c>
      <c r="E534" s="1">
        <v>45306</v>
      </c>
      <c r="F534">
        <v>77466.759999999995</v>
      </c>
      <c r="G534">
        <v>8.58</v>
      </c>
      <c r="H534">
        <v>240</v>
      </c>
      <c r="I534" t="s">
        <v>27</v>
      </c>
      <c r="J534">
        <v>0</v>
      </c>
      <c r="K534">
        <f t="shared" ca="1" si="48"/>
        <v>30</v>
      </c>
      <c r="L534">
        <f t="shared" ca="1" si="49"/>
        <v>0</v>
      </c>
      <c r="M534" t="str">
        <f t="shared" ca="1" si="50"/>
        <v>Medium</v>
      </c>
      <c r="N534">
        <f t="shared" ca="1" si="51"/>
        <v>12</v>
      </c>
      <c r="O534">
        <f t="shared" ca="1" si="52"/>
        <v>0</v>
      </c>
      <c r="P534">
        <f t="shared" ca="1" si="53"/>
        <v>0</v>
      </c>
    </row>
    <row r="535" spans="1:16" x14ac:dyDescent="0.3">
      <c r="A535" t="s">
        <v>878</v>
      </c>
      <c r="B535" t="s">
        <v>837</v>
      </c>
      <c r="C535" t="s">
        <v>36</v>
      </c>
      <c r="D535" t="s">
        <v>13</v>
      </c>
      <c r="E535" s="1">
        <v>45617</v>
      </c>
      <c r="F535">
        <v>39182.28</v>
      </c>
      <c r="G535">
        <v>7.4</v>
      </c>
      <c r="H535">
        <v>36</v>
      </c>
      <c r="I535" t="s">
        <v>14</v>
      </c>
      <c r="J535">
        <v>19199</v>
      </c>
      <c r="K535">
        <f t="shared" ca="1" si="48"/>
        <v>0</v>
      </c>
      <c r="L535">
        <f t="shared" ca="1" si="49"/>
        <v>0</v>
      </c>
      <c r="M535" t="str">
        <f t="shared" ca="1" si="50"/>
        <v>Low</v>
      </c>
      <c r="N535">
        <f t="shared" ca="1" si="51"/>
        <v>0.36</v>
      </c>
      <c r="O535">
        <f t="shared" ca="1" si="52"/>
        <v>0</v>
      </c>
      <c r="P535">
        <f t="shared" ca="1" si="53"/>
        <v>0</v>
      </c>
    </row>
    <row r="536" spans="1:16" x14ac:dyDescent="0.3">
      <c r="A536" t="s">
        <v>879</v>
      </c>
      <c r="B536" t="s">
        <v>880</v>
      </c>
      <c r="C536" t="s">
        <v>12</v>
      </c>
      <c r="D536" t="s">
        <v>18</v>
      </c>
      <c r="E536" s="1">
        <v>45669</v>
      </c>
      <c r="F536">
        <v>27055.84</v>
      </c>
      <c r="G536">
        <v>21.48</v>
      </c>
      <c r="H536">
        <v>36</v>
      </c>
      <c r="I536" t="s">
        <v>27</v>
      </c>
      <c r="J536">
        <v>0</v>
      </c>
      <c r="K536">
        <f t="shared" ca="1" si="48"/>
        <v>45</v>
      </c>
      <c r="L536">
        <f t="shared" ca="1" si="49"/>
        <v>0</v>
      </c>
      <c r="M536" t="str">
        <f t="shared" ca="1" si="50"/>
        <v>Medium</v>
      </c>
      <c r="N536">
        <f t="shared" ca="1" si="51"/>
        <v>1.8</v>
      </c>
      <c r="O536">
        <f t="shared" ca="1" si="52"/>
        <v>0</v>
      </c>
      <c r="P536">
        <f t="shared" ca="1" si="53"/>
        <v>0</v>
      </c>
    </row>
    <row r="537" spans="1:16" x14ac:dyDescent="0.3">
      <c r="A537" t="s">
        <v>881</v>
      </c>
      <c r="B537" t="s">
        <v>109</v>
      </c>
      <c r="C537" t="s">
        <v>70</v>
      </c>
      <c r="D537" t="s">
        <v>26</v>
      </c>
      <c r="E537" s="1">
        <v>46082</v>
      </c>
      <c r="F537">
        <v>27261.68</v>
      </c>
      <c r="G537">
        <v>17.11</v>
      </c>
      <c r="H537">
        <v>60</v>
      </c>
      <c r="I537" t="s">
        <v>14</v>
      </c>
      <c r="J537">
        <v>23718</v>
      </c>
      <c r="K537">
        <f t="shared" ca="1" si="48"/>
        <v>30</v>
      </c>
      <c r="L537">
        <f t="shared" ca="1" si="49"/>
        <v>0</v>
      </c>
      <c r="M537" t="str">
        <f t="shared" ca="1" si="50"/>
        <v>Medium</v>
      </c>
      <c r="N537">
        <f t="shared" ca="1" si="51"/>
        <v>3</v>
      </c>
      <c r="O537">
        <f t="shared" ca="1" si="52"/>
        <v>0</v>
      </c>
      <c r="P537">
        <f t="shared" ca="1" si="53"/>
        <v>33804.483199999995</v>
      </c>
    </row>
    <row r="538" spans="1:16" x14ac:dyDescent="0.3">
      <c r="A538" t="s">
        <v>882</v>
      </c>
      <c r="B538" t="s">
        <v>456</v>
      </c>
      <c r="C538" t="s">
        <v>123</v>
      </c>
      <c r="D538" t="s">
        <v>13</v>
      </c>
      <c r="E538" s="1">
        <v>45328</v>
      </c>
      <c r="F538">
        <v>48754.95</v>
      </c>
      <c r="G538">
        <v>9.34</v>
      </c>
      <c r="H538">
        <v>120</v>
      </c>
      <c r="I538" t="s">
        <v>27</v>
      </c>
      <c r="J538">
        <v>0</v>
      </c>
      <c r="K538">
        <f t="shared" ca="1" si="48"/>
        <v>120</v>
      </c>
      <c r="L538">
        <f t="shared" ca="1" si="49"/>
        <v>1</v>
      </c>
      <c r="M538" t="str">
        <f t="shared" ca="1" si="50"/>
        <v>High</v>
      </c>
      <c r="N538">
        <f t="shared" ca="1" si="51"/>
        <v>30</v>
      </c>
      <c r="O538">
        <f t="shared" ca="1" si="52"/>
        <v>24</v>
      </c>
      <c r="P538">
        <f t="shared" ca="1" si="53"/>
        <v>0</v>
      </c>
    </row>
    <row r="539" spans="1:16" x14ac:dyDescent="0.3">
      <c r="A539" t="s">
        <v>883</v>
      </c>
      <c r="B539" t="s">
        <v>80</v>
      </c>
      <c r="C539" t="s">
        <v>12</v>
      </c>
      <c r="D539" t="s">
        <v>18</v>
      </c>
      <c r="E539" s="1">
        <v>45561</v>
      </c>
      <c r="F539">
        <v>20476</v>
      </c>
      <c r="G539">
        <v>19.12</v>
      </c>
      <c r="H539">
        <v>72</v>
      </c>
      <c r="I539" t="s">
        <v>19</v>
      </c>
      <c r="J539">
        <v>0</v>
      </c>
      <c r="K539">
        <f t="shared" ca="1" si="48"/>
        <v>0</v>
      </c>
      <c r="L539">
        <f t="shared" ca="1" si="49"/>
        <v>0</v>
      </c>
      <c r="M539" t="str">
        <f t="shared" ca="1" si="50"/>
        <v>Low</v>
      </c>
      <c r="N539">
        <f t="shared" ca="1" si="51"/>
        <v>0.72</v>
      </c>
      <c r="O539">
        <f t="shared" ca="1" si="52"/>
        <v>0</v>
      </c>
      <c r="P539">
        <f t="shared" ca="1" si="53"/>
        <v>0</v>
      </c>
    </row>
    <row r="540" spans="1:16" x14ac:dyDescent="0.3">
      <c r="A540" t="s">
        <v>884</v>
      </c>
      <c r="B540" t="s">
        <v>628</v>
      </c>
      <c r="C540" t="s">
        <v>25</v>
      </c>
      <c r="D540" t="s">
        <v>13</v>
      </c>
      <c r="E540" s="1">
        <v>46013</v>
      </c>
      <c r="F540">
        <v>61223.08</v>
      </c>
      <c r="G540">
        <v>20.75</v>
      </c>
      <c r="H540">
        <v>24</v>
      </c>
      <c r="I540" t="s">
        <v>27</v>
      </c>
      <c r="J540">
        <v>0</v>
      </c>
      <c r="K540">
        <f t="shared" ca="1" si="48"/>
        <v>90</v>
      </c>
      <c r="L540">
        <f t="shared" ca="1" si="49"/>
        <v>1</v>
      </c>
      <c r="M540" t="str">
        <f t="shared" ca="1" si="50"/>
        <v>High</v>
      </c>
      <c r="N540">
        <f t="shared" ca="1" si="51"/>
        <v>6</v>
      </c>
      <c r="O540">
        <f t="shared" ca="1" si="52"/>
        <v>2.64</v>
      </c>
      <c r="P540">
        <f t="shared" ca="1" si="53"/>
        <v>0</v>
      </c>
    </row>
    <row r="541" spans="1:16" x14ac:dyDescent="0.3">
      <c r="A541" t="s">
        <v>885</v>
      </c>
      <c r="B541" t="s">
        <v>886</v>
      </c>
      <c r="C541" t="s">
        <v>70</v>
      </c>
      <c r="D541" t="s">
        <v>18</v>
      </c>
      <c r="E541" s="1">
        <v>45495</v>
      </c>
      <c r="F541">
        <v>34740.86</v>
      </c>
      <c r="G541">
        <v>16.059999999999999</v>
      </c>
      <c r="H541">
        <v>180</v>
      </c>
      <c r="I541" t="s">
        <v>14</v>
      </c>
      <c r="J541">
        <v>25361</v>
      </c>
      <c r="K541">
        <f t="shared" ca="1" si="48"/>
        <v>60</v>
      </c>
      <c r="L541">
        <f t="shared" ca="1" si="49"/>
        <v>0</v>
      </c>
      <c r="M541" t="str">
        <f t="shared" ca="1" si="50"/>
        <v>Medium</v>
      </c>
      <c r="N541">
        <f t="shared" ca="1" si="51"/>
        <v>18</v>
      </c>
      <c r="O541">
        <f t="shared" ca="1" si="52"/>
        <v>0</v>
      </c>
      <c r="P541">
        <f t="shared" ca="1" si="53"/>
        <v>0</v>
      </c>
    </row>
    <row r="542" spans="1:16" x14ac:dyDescent="0.3">
      <c r="A542" t="s">
        <v>887</v>
      </c>
      <c r="B542" t="s">
        <v>888</v>
      </c>
      <c r="C542" t="s">
        <v>17</v>
      </c>
      <c r="D542" t="s">
        <v>26</v>
      </c>
      <c r="E542" s="1">
        <v>45510</v>
      </c>
      <c r="F542">
        <v>9433.8799999999992</v>
      </c>
      <c r="G542">
        <v>9.11</v>
      </c>
      <c r="H542">
        <v>24</v>
      </c>
      <c r="I542" t="s">
        <v>14</v>
      </c>
      <c r="J542">
        <v>6132</v>
      </c>
      <c r="K542">
        <f t="shared" ca="1" si="48"/>
        <v>0</v>
      </c>
      <c r="L542">
        <f t="shared" ca="1" si="49"/>
        <v>0</v>
      </c>
      <c r="M542" t="str">
        <f t="shared" ca="1" si="50"/>
        <v>Low</v>
      </c>
      <c r="N542">
        <f t="shared" ca="1" si="51"/>
        <v>0.24</v>
      </c>
      <c r="O542">
        <f t="shared" ca="1" si="52"/>
        <v>0</v>
      </c>
      <c r="P542">
        <f t="shared" ca="1" si="53"/>
        <v>9528.2187999999987</v>
      </c>
    </row>
    <row r="543" spans="1:16" x14ac:dyDescent="0.3">
      <c r="A543" t="s">
        <v>889</v>
      </c>
      <c r="B543" t="s">
        <v>154</v>
      </c>
      <c r="C543" t="s">
        <v>70</v>
      </c>
      <c r="D543" t="s">
        <v>26</v>
      </c>
      <c r="E543" s="1">
        <v>45559</v>
      </c>
      <c r="F543">
        <v>25344.22</v>
      </c>
      <c r="G543">
        <v>8.6999999999999993</v>
      </c>
      <c r="H543">
        <v>48</v>
      </c>
      <c r="I543" t="s">
        <v>14</v>
      </c>
      <c r="J543">
        <v>22049</v>
      </c>
      <c r="K543">
        <f t="shared" ca="1" si="48"/>
        <v>120</v>
      </c>
      <c r="L543">
        <f t="shared" ca="1" si="49"/>
        <v>1</v>
      </c>
      <c r="M543" t="str">
        <f t="shared" ca="1" si="50"/>
        <v>High</v>
      </c>
      <c r="N543">
        <f t="shared" ca="1" si="51"/>
        <v>12</v>
      </c>
      <c r="O543">
        <f t="shared" ca="1" si="52"/>
        <v>6.24</v>
      </c>
      <c r="P543">
        <f t="shared" ca="1" si="53"/>
        <v>20782.260399999999</v>
      </c>
    </row>
    <row r="544" spans="1:16" x14ac:dyDescent="0.3">
      <c r="A544" t="s">
        <v>890</v>
      </c>
      <c r="B544" t="s">
        <v>891</v>
      </c>
      <c r="C544" t="s">
        <v>51</v>
      </c>
      <c r="D544" t="s">
        <v>75</v>
      </c>
      <c r="E544" s="1">
        <v>45388</v>
      </c>
      <c r="F544">
        <v>63756.13</v>
      </c>
      <c r="G544">
        <v>11.24</v>
      </c>
      <c r="H544">
        <v>84</v>
      </c>
      <c r="I544" t="s">
        <v>27</v>
      </c>
      <c r="J544">
        <v>0</v>
      </c>
      <c r="K544">
        <f t="shared" ca="1" si="48"/>
        <v>15</v>
      </c>
      <c r="L544">
        <f t="shared" ca="1" si="49"/>
        <v>0</v>
      </c>
      <c r="M544" t="str">
        <f t="shared" ca="1" si="50"/>
        <v>Low</v>
      </c>
      <c r="N544">
        <f t="shared" ca="1" si="51"/>
        <v>0.84</v>
      </c>
      <c r="O544">
        <f t="shared" ca="1" si="52"/>
        <v>0</v>
      </c>
      <c r="P544">
        <f t="shared" ca="1" si="53"/>
        <v>54192.710500000001</v>
      </c>
    </row>
    <row r="545" spans="1:16" x14ac:dyDescent="0.3">
      <c r="A545" t="s">
        <v>892</v>
      </c>
      <c r="B545" t="s">
        <v>893</v>
      </c>
      <c r="C545" t="s">
        <v>70</v>
      </c>
      <c r="D545" t="s">
        <v>13</v>
      </c>
      <c r="E545" s="1">
        <v>45608</v>
      </c>
      <c r="F545">
        <v>2711.32</v>
      </c>
      <c r="G545">
        <v>17.53</v>
      </c>
      <c r="H545">
        <v>360</v>
      </c>
      <c r="I545" t="s">
        <v>19</v>
      </c>
      <c r="J545">
        <v>0</v>
      </c>
      <c r="K545">
        <f t="shared" ca="1" si="48"/>
        <v>0</v>
      </c>
      <c r="L545">
        <f t="shared" ca="1" si="49"/>
        <v>0</v>
      </c>
      <c r="M545" t="str">
        <f t="shared" ca="1" si="50"/>
        <v>Low</v>
      </c>
      <c r="N545">
        <f t="shared" ca="1" si="51"/>
        <v>3.6</v>
      </c>
      <c r="O545">
        <f t="shared" ca="1" si="52"/>
        <v>0</v>
      </c>
      <c r="P545">
        <f t="shared" ca="1" si="53"/>
        <v>0</v>
      </c>
    </row>
    <row r="546" spans="1:16" x14ac:dyDescent="0.3">
      <c r="A546" t="s">
        <v>894</v>
      </c>
      <c r="B546" t="s">
        <v>895</v>
      </c>
      <c r="C546" t="s">
        <v>25</v>
      </c>
      <c r="D546" t="s">
        <v>18</v>
      </c>
      <c r="E546" s="1">
        <v>45577</v>
      </c>
      <c r="F546">
        <v>54821.74</v>
      </c>
      <c r="G546">
        <v>9.6</v>
      </c>
      <c r="H546">
        <v>48</v>
      </c>
      <c r="I546" t="s">
        <v>19</v>
      </c>
      <c r="J546">
        <v>0</v>
      </c>
      <c r="K546">
        <f t="shared" ca="1" si="48"/>
        <v>0</v>
      </c>
      <c r="L546">
        <f t="shared" ca="1" si="49"/>
        <v>0</v>
      </c>
      <c r="M546" t="str">
        <f t="shared" ca="1" si="50"/>
        <v>Low</v>
      </c>
      <c r="N546">
        <f t="shared" ca="1" si="51"/>
        <v>0.48</v>
      </c>
      <c r="O546">
        <f t="shared" ca="1" si="52"/>
        <v>0</v>
      </c>
      <c r="P546">
        <f t="shared" ca="1" si="53"/>
        <v>0</v>
      </c>
    </row>
    <row r="547" spans="1:16" x14ac:dyDescent="0.3">
      <c r="A547" t="s">
        <v>896</v>
      </c>
      <c r="B547" t="s">
        <v>535</v>
      </c>
      <c r="C547" t="s">
        <v>39</v>
      </c>
      <c r="D547" t="s">
        <v>30</v>
      </c>
      <c r="E547" s="1">
        <v>45914</v>
      </c>
      <c r="F547">
        <v>67205.710000000006</v>
      </c>
      <c r="G547">
        <v>8.14</v>
      </c>
      <c r="H547">
        <v>24</v>
      </c>
      <c r="I547" t="s">
        <v>14</v>
      </c>
      <c r="J547">
        <v>27554</v>
      </c>
      <c r="K547">
        <f t="shared" ca="1" si="48"/>
        <v>45</v>
      </c>
      <c r="L547">
        <f t="shared" ca="1" si="49"/>
        <v>0</v>
      </c>
      <c r="M547" t="str">
        <f t="shared" ca="1" si="50"/>
        <v>Medium</v>
      </c>
      <c r="N547">
        <f t="shared" ca="1" si="51"/>
        <v>1.2000000000000002</v>
      </c>
      <c r="O547">
        <f t="shared" ca="1" si="52"/>
        <v>0</v>
      </c>
      <c r="P547">
        <f t="shared" ca="1" si="53"/>
        <v>0</v>
      </c>
    </row>
    <row r="548" spans="1:16" x14ac:dyDescent="0.3">
      <c r="A548" t="s">
        <v>897</v>
      </c>
      <c r="B548" t="s">
        <v>204</v>
      </c>
      <c r="C548" t="s">
        <v>25</v>
      </c>
      <c r="D548" t="s">
        <v>75</v>
      </c>
      <c r="E548" s="1">
        <v>46035</v>
      </c>
      <c r="F548">
        <v>98360.34</v>
      </c>
      <c r="G548">
        <v>19.62</v>
      </c>
      <c r="H548">
        <v>72</v>
      </c>
      <c r="I548" t="s">
        <v>14</v>
      </c>
      <c r="J548">
        <v>80655</v>
      </c>
      <c r="K548">
        <f t="shared" ca="1" si="48"/>
        <v>0</v>
      </c>
      <c r="L548">
        <f t="shared" ca="1" si="49"/>
        <v>0</v>
      </c>
      <c r="M548" t="str">
        <f t="shared" ca="1" si="50"/>
        <v>Low</v>
      </c>
      <c r="N548">
        <f t="shared" ca="1" si="51"/>
        <v>0.72</v>
      </c>
      <c r="O548">
        <f t="shared" ca="1" si="52"/>
        <v>0</v>
      </c>
      <c r="P548">
        <f t="shared" ca="1" si="53"/>
        <v>116065.2012</v>
      </c>
    </row>
    <row r="549" spans="1:16" x14ac:dyDescent="0.3">
      <c r="A549" t="s">
        <v>898</v>
      </c>
      <c r="B549" t="s">
        <v>371</v>
      </c>
      <c r="C549" t="s">
        <v>39</v>
      </c>
      <c r="D549" t="s">
        <v>13</v>
      </c>
      <c r="E549" s="1">
        <v>45757</v>
      </c>
      <c r="F549">
        <v>38404.019999999997</v>
      </c>
      <c r="G549">
        <v>17.5</v>
      </c>
      <c r="H549">
        <v>240</v>
      </c>
      <c r="I549" t="s">
        <v>14</v>
      </c>
      <c r="J549">
        <v>25347</v>
      </c>
      <c r="K549">
        <f t="shared" ca="1" si="48"/>
        <v>120</v>
      </c>
      <c r="L549">
        <f t="shared" ca="1" si="49"/>
        <v>1</v>
      </c>
      <c r="M549" t="str">
        <f t="shared" ca="1" si="50"/>
        <v>High</v>
      </c>
      <c r="N549">
        <f t="shared" ca="1" si="51"/>
        <v>60</v>
      </c>
      <c r="O549">
        <f t="shared" ca="1" si="52"/>
        <v>21.6</v>
      </c>
      <c r="P549">
        <f t="shared" ca="1" si="53"/>
        <v>0</v>
      </c>
    </row>
    <row r="550" spans="1:16" x14ac:dyDescent="0.3">
      <c r="A550" t="s">
        <v>899</v>
      </c>
      <c r="B550" t="s">
        <v>900</v>
      </c>
      <c r="C550" t="s">
        <v>39</v>
      </c>
      <c r="D550" t="s">
        <v>13</v>
      </c>
      <c r="E550" s="1">
        <v>46091</v>
      </c>
      <c r="F550">
        <v>9924.2800000000007</v>
      </c>
      <c r="G550">
        <v>5.8</v>
      </c>
      <c r="H550">
        <v>12</v>
      </c>
      <c r="I550" t="s">
        <v>14</v>
      </c>
      <c r="J550">
        <v>7642</v>
      </c>
      <c r="K550">
        <f t="shared" ca="1" si="48"/>
        <v>90</v>
      </c>
      <c r="L550">
        <f t="shared" ca="1" si="49"/>
        <v>1</v>
      </c>
      <c r="M550" t="str">
        <f t="shared" ca="1" si="50"/>
        <v>High</v>
      </c>
      <c r="N550">
        <f t="shared" ca="1" si="51"/>
        <v>3</v>
      </c>
      <c r="O550">
        <f t="shared" ca="1" si="52"/>
        <v>2.76</v>
      </c>
      <c r="P550">
        <f t="shared" ca="1" si="53"/>
        <v>0</v>
      </c>
    </row>
    <row r="551" spans="1:16" x14ac:dyDescent="0.3">
      <c r="A551" t="s">
        <v>901</v>
      </c>
      <c r="B551" t="s">
        <v>902</v>
      </c>
      <c r="C551" t="s">
        <v>12</v>
      </c>
      <c r="D551" t="s">
        <v>75</v>
      </c>
      <c r="E551" s="1">
        <v>45839</v>
      </c>
      <c r="F551">
        <v>14408.66</v>
      </c>
      <c r="G551">
        <v>21.22</v>
      </c>
      <c r="H551">
        <v>180</v>
      </c>
      <c r="I551" t="s">
        <v>14</v>
      </c>
      <c r="J551">
        <v>13112</v>
      </c>
      <c r="K551">
        <f t="shared" ca="1" si="48"/>
        <v>90</v>
      </c>
      <c r="L551">
        <f t="shared" ca="1" si="49"/>
        <v>1</v>
      </c>
      <c r="M551" t="str">
        <f t="shared" ca="1" si="50"/>
        <v>High</v>
      </c>
      <c r="N551">
        <f t="shared" ca="1" si="51"/>
        <v>45</v>
      </c>
      <c r="O551">
        <f t="shared" ca="1" si="52"/>
        <v>34.200000000000003</v>
      </c>
      <c r="P551">
        <f t="shared" ca="1" si="53"/>
        <v>11238.754800000001</v>
      </c>
    </row>
    <row r="552" spans="1:16" x14ac:dyDescent="0.3">
      <c r="A552" t="s">
        <v>903</v>
      </c>
      <c r="B552" t="s">
        <v>834</v>
      </c>
      <c r="C552" t="s">
        <v>25</v>
      </c>
      <c r="D552" t="s">
        <v>22</v>
      </c>
      <c r="E552" s="1">
        <v>45937</v>
      </c>
      <c r="F552">
        <v>36909.67</v>
      </c>
      <c r="G552">
        <v>7.54</v>
      </c>
      <c r="H552">
        <v>84</v>
      </c>
      <c r="I552" t="s">
        <v>14</v>
      </c>
      <c r="J552">
        <v>15502</v>
      </c>
      <c r="K552">
        <f t="shared" ca="1" si="48"/>
        <v>120</v>
      </c>
      <c r="L552">
        <f t="shared" ca="1" si="49"/>
        <v>1</v>
      </c>
      <c r="M552" t="str">
        <f t="shared" ca="1" si="50"/>
        <v>High</v>
      </c>
      <c r="N552">
        <f t="shared" ca="1" si="51"/>
        <v>21</v>
      </c>
      <c r="O552">
        <f t="shared" ca="1" si="52"/>
        <v>13.44</v>
      </c>
      <c r="P552">
        <f t="shared" ca="1" si="53"/>
        <v>42815.217199999999</v>
      </c>
    </row>
    <row r="553" spans="1:16" x14ac:dyDescent="0.3">
      <c r="A553" t="s">
        <v>904</v>
      </c>
      <c r="B553" t="s">
        <v>905</v>
      </c>
      <c r="C553" t="s">
        <v>36</v>
      </c>
      <c r="D553" t="s">
        <v>18</v>
      </c>
      <c r="E553" s="1">
        <v>45659</v>
      </c>
      <c r="F553">
        <v>23641.52</v>
      </c>
      <c r="G553">
        <v>9.61</v>
      </c>
      <c r="H553">
        <v>36</v>
      </c>
      <c r="I553" t="s">
        <v>27</v>
      </c>
      <c r="J553">
        <v>0</v>
      </c>
      <c r="K553">
        <f t="shared" ca="1" si="48"/>
        <v>0</v>
      </c>
      <c r="L553">
        <f t="shared" ca="1" si="49"/>
        <v>0</v>
      </c>
      <c r="M553" t="str">
        <f t="shared" ca="1" si="50"/>
        <v>Low</v>
      </c>
      <c r="N553">
        <f t="shared" ca="1" si="51"/>
        <v>0.36</v>
      </c>
      <c r="O553">
        <f t="shared" ca="1" si="52"/>
        <v>0</v>
      </c>
      <c r="P553">
        <f t="shared" ca="1" si="53"/>
        <v>0</v>
      </c>
    </row>
    <row r="554" spans="1:16" x14ac:dyDescent="0.3">
      <c r="A554" t="s">
        <v>906</v>
      </c>
      <c r="B554" t="s">
        <v>907</v>
      </c>
      <c r="C554" t="s">
        <v>36</v>
      </c>
      <c r="D554" t="s">
        <v>26</v>
      </c>
      <c r="E554" s="1">
        <v>45963</v>
      </c>
      <c r="F554">
        <v>22120.75</v>
      </c>
      <c r="G554">
        <v>20.89</v>
      </c>
      <c r="H554">
        <v>120</v>
      </c>
      <c r="I554" t="s">
        <v>14</v>
      </c>
      <c r="J554">
        <v>13272</v>
      </c>
      <c r="K554">
        <f t="shared" ca="1" si="48"/>
        <v>90</v>
      </c>
      <c r="L554">
        <f t="shared" ca="1" si="49"/>
        <v>1</v>
      </c>
      <c r="M554" t="str">
        <f t="shared" ca="1" si="50"/>
        <v>High</v>
      </c>
      <c r="N554">
        <f t="shared" ca="1" si="51"/>
        <v>30</v>
      </c>
      <c r="O554">
        <f t="shared" ca="1" si="52"/>
        <v>7.2</v>
      </c>
      <c r="P554">
        <f t="shared" ca="1" si="53"/>
        <v>24332.825000000001</v>
      </c>
    </row>
    <row r="555" spans="1:16" x14ac:dyDescent="0.3">
      <c r="A555" t="s">
        <v>908</v>
      </c>
      <c r="B555" t="s">
        <v>288</v>
      </c>
      <c r="C555" t="s">
        <v>123</v>
      </c>
      <c r="D555" t="s">
        <v>30</v>
      </c>
      <c r="E555" s="1">
        <v>45397</v>
      </c>
      <c r="F555">
        <v>70785.279999999999</v>
      </c>
      <c r="G555">
        <v>18.78</v>
      </c>
      <c r="H555">
        <v>240</v>
      </c>
      <c r="I555" t="s">
        <v>14</v>
      </c>
      <c r="J555">
        <v>40348</v>
      </c>
      <c r="K555">
        <f t="shared" ca="1" si="48"/>
        <v>0</v>
      </c>
      <c r="L555">
        <f t="shared" ca="1" si="49"/>
        <v>0</v>
      </c>
      <c r="M555" t="str">
        <f t="shared" ca="1" si="50"/>
        <v>Low</v>
      </c>
      <c r="N555">
        <f t="shared" ca="1" si="51"/>
        <v>2.4</v>
      </c>
      <c r="O555">
        <f t="shared" ca="1" si="52"/>
        <v>0</v>
      </c>
      <c r="P555">
        <f t="shared" ca="1" si="53"/>
        <v>0</v>
      </c>
    </row>
    <row r="556" spans="1:16" x14ac:dyDescent="0.3">
      <c r="A556" t="s">
        <v>909</v>
      </c>
      <c r="B556" t="s">
        <v>119</v>
      </c>
      <c r="C556" t="s">
        <v>17</v>
      </c>
      <c r="D556" t="s">
        <v>13</v>
      </c>
      <c r="E556" s="1">
        <v>45624</v>
      </c>
      <c r="F556">
        <v>53033.87</v>
      </c>
      <c r="G556">
        <v>8.89</v>
      </c>
      <c r="H556">
        <v>240</v>
      </c>
      <c r="I556" t="s">
        <v>27</v>
      </c>
      <c r="J556">
        <v>0</v>
      </c>
      <c r="K556">
        <f t="shared" ca="1" si="48"/>
        <v>15</v>
      </c>
      <c r="L556">
        <f t="shared" ca="1" si="49"/>
        <v>0</v>
      </c>
      <c r="M556" t="str">
        <f t="shared" ca="1" si="50"/>
        <v>Low</v>
      </c>
      <c r="N556">
        <f t="shared" ca="1" si="51"/>
        <v>2.4</v>
      </c>
      <c r="O556">
        <f t="shared" ca="1" si="52"/>
        <v>0</v>
      </c>
      <c r="P556">
        <f t="shared" ca="1" si="53"/>
        <v>0</v>
      </c>
    </row>
    <row r="557" spans="1:16" x14ac:dyDescent="0.3">
      <c r="A557" t="s">
        <v>910</v>
      </c>
      <c r="B557" t="s">
        <v>608</v>
      </c>
      <c r="C557" t="s">
        <v>39</v>
      </c>
      <c r="D557" t="s">
        <v>13</v>
      </c>
      <c r="E557" s="1">
        <v>45410</v>
      </c>
      <c r="F557">
        <v>47194.239999999998</v>
      </c>
      <c r="G557">
        <v>6.41</v>
      </c>
      <c r="H557">
        <v>240</v>
      </c>
      <c r="I557" t="s">
        <v>14</v>
      </c>
      <c r="J557">
        <v>19350</v>
      </c>
      <c r="K557">
        <f t="shared" ca="1" si="48"/>
        <v>120</v>
      </c>
      <c r="L557">
        <f t="shared" ca="1" si="49"/>
        <v>1</v>
      </c>
      <c r="M557" t="str">
        <f t="shared" ca="1" si="50"/>
        <v>High</v>
      </c>
      <c r="N557">
        <f t="shared" ca="1" si="51"/>
        <v>60</v>
      </c>
      <c r="O557">
        <f t="shared" ca="1" si="52"/>
        <v>38.4</v>
      </c>
      <c r="P557">
        <f t="shared" ca="1" si="53"/>
        <v>0</v>
      </c>
    </row>
    <row r="558" spans="1:16" x14ac:dyDescent="0.3">
      <c r="A558" t="s">
        <v>911</v>
      </c>
      <c r="B558" t="s">
        <v>441</v>
      </c>
      <c r="C558" t="s">
        <v>36</v>
      </c>
      <c r="D558" t="s">
        <v>22</v>
      </c>
      <c r="E558" s="1">
        <v>46013</v>
      </c>
      <c r="F558">
        <v>74360.69</v>
      </c>
      <c r="G558">
        <v>9.26</v>
      </c>
      <c r="H558">
        <v>60</v>
      </c>
      <c r="I558" t="s">
        <v>14</v>
      </c>
      <c r="J558">
        <v>37924</v>
      </c>
      <c r="K558">
        <f t="shared" ca="1" si="48"/>
        <v>0</v>
      </c>
      <c r="L558">
        <f t="shared" ca="1" si="49"/>
        <v>0</v>
      </c>
      <c r="M558" t="str">
        <f t="shared" ca="1" si="50"/>
        <v>Low</v>
      </c>
      <c r="N558">
        <f t="shared" ca="1" si="51"/>
        <v>0.6</v>
      </c>
      <c r="O558">
        <f t="shared" ca="1" si="52"/>
        <v>0</v>
      </c>
      <c r="P558">
        <f t="shared" ca="1" si="53"/>
        <v>80309.545200000008</v>
      </c>
    </row>
    <row r="559" spans="1:16" x14ac:dyDescent="0.3">
      <c r="A559" t="s">
        <v>912</v>
      </c>
      <c r="B559" t="s">
        <v>183</v>
      </c>
      <c r="C559" t="s">
        <v>12</v>
      </c>
      <c r="D559" t="s">
        <v>30</v>
      </c>
      <c r="E559" s="1">
        <v>46183</v>
      </c>
      <c r="F559">
        <v>9346.23</v>
      </c>
      <c r="G559">
        <v>11.95</v>
      </c>
      <c r="H559">
        <v>72</v>
      </c>
      <c r="I559" t="s">
        <v>14</v>
      </c>
      <c r="J559">
        <v>4673</v>
      </c>
      <c r="K559">
        <f t="shared" ca="1" si="48"/>
        <v>30</v>
      </c>
      <c r="L559">
        <f t="shared" ca="1" si="49"/>
        <v>0</v>
      </c>
      <c r="M559" t="str">
        <f t="shared" ca="1" si="50"/>
        <v>Medium</v>
      </c>
      <c r="N559">
        <f t="shared" ca="1" si="51"/>
        <v>3.6</v>
      </c>
      <c r="O559">
        <f t="shared" ca="1" si="52"/>
        <v>0</v>
      </c>
      <c r="P559">
        <f t="shared" ca="1" si="53"/>
        <v>0</v>
      </c>
    </row>
    <row r="560" spans="1:16" x14ac:dyDescent="0.3">
      <c r="A560" t="s">
        <v>913</v>
      </c>
      <c r="B560" t="s">
        <v>366</v>
      </c>
      <c r="C560" t="s">
        <v>33</v>
      </c>
      <c r="D560" t="s">
        <v>22</v>
      </c>
      <c r="E560" s="1">
        <v>45892</v>
      </c>
      <c r="F560">
        <v>50796.25</v>
      </c>
      <c r="G560">
        <v>7.15</v>
      </c>
      <c r="H560">
        <v>360</v>
      </c>
      <c r="I560" t="s">
        <v>19</v>
      </c>
      <c r="J560">
        <v>0</v>
      </c>
      <c r="K560">
        <f t="shared" ca="1" si="48"/>
        <v>0</v>
      </c>
      <c r="L560">
        <f t="shared" ca="1" si="49"/>
        <v>0</v>
      </c>
      <c r="M560" t="str">
        <f t="shared" ca="1" si="50"/>
        <v>Low</v>
      </c>
      <c r="N560">
        <f t="shared" ca="1" si="51"/>
        <v>3.6</v>
      </c>
      <c r="O560">
        <f t="shared" ca="1" si="52"/>
        <v>0</v>
      </c>
      <c r="P560">
        <f t="shared" ca="1" si="53"/>
        <v>55875.875</v>
      </c>
    </row>
    <row r="561" spans="1:16" x14ac:dyDescent="0.3">
      <c r="A561" t="s">
        <v>914</v>
      </c>
      <c r="B561" t="s">
        <v>859</v>
      </c>
      <c r="C561" t="s">
        <v>51</v>
      </c>
      <c r="D561" t="s">
        <v>75</v>
      </c>
      <c r="E561" s="1">
        <v>45732</v>
      </c>
      <c r="F561">
        <v>72911.92</v>
      </c>
      <c r="G561">
        <v>18.36</v>
      </c>
      <c r="H561">
        <v>120</v>
      </c>
      <c r="I561" t="s">
        <v>14</v>
      </c>
      <c r="J561">
        <v>48122</v>
      </c>
      <c r="K561">
        <f t="shared" ca="1" si="48"/>
        <v>90</v>
      </c>
      <c r="L561">
        <f t="shared" ca="1" si="49"/>
        <v>1</v>
      </c>
      <c r="M561" t="str">
        <f t="shared" ca="1" si="50"/>
        <v>High</v>
      </c>
      <c r="N561">
        <f t="shared" ca="1" si="51"/>
        <v>30</v>
      </c>
      <c r="O561">
        <f t="shared" ca="1" si="52"/>
        <v>16.8</v>
      </c>
      <c r="P561">
        <f t="shared" ca="1" si="53"/>
        <v>61975.132000000005</v>
      </c>
    </row>
    <row r="562" spans="1:16" x14ac:dyDescent="0.3">
      <c r="A562" t="s">
        <v>915</v>
      </c>
      <c r="B562" t="s">
        <v>166</v>
      </c>
      <c r="C562" t="s">
        <v>12</v>
      </c>
      <c r="D562" t="s">
        <v>13</v>
      </c>
      <c r="E562" s="1">
        <v>45631</v>
      </c>
      <c r="F562">
        <v>18711.150000000001</v>
      </c>
      <c r="G562">
        <v>5.05</v>
      </c>
      <c r="H562">
        <v>24</v>
      </c>
      <c r="I562" t="s">
        <v>27</v>
      </c>
      <c r="J562">
        <v>0</v>
      </c>
      <c r="K562">
        <f t="shared" ca="1" si="48"/>
        <v>0</v>
      </c>
      <c r="L562">
        <f t="shared" ca="1" si="49"/>
        <v>0</v>
      </c>
      <c r="M562" t="str">
        <f t="shared" ca="1" si="50"/>
        <v>Low</v>
      </c>
      <c r="N562">
        <f t="shared" ca="1" si="51"/>
        <v>0.24</v>
      </c>
      <c r="O562">
        <f t="shared" ca="1" si="52"/>
        <v>0</v>
      </c>
      <c r="P562">
        <f t="shared" ca="1" si="53"/>
        <v>0</v>
      </c>
    </row>
    <row r="563" spans="1:16" x14ac:dyDescent="0.3">
      <c r="A563" t="s">
        <v>916</v>
      </c>
      <c r="B563" t="s">
        <v>152</v>
      </c>
      <c r="C563" t="s">
        <v>25</v>
      </c>
      <c r="D563" t="s">
        <v>13</v>
      </c>
      <c r="E563" s="1">
        <v>46080</v>
      </c>
      <c r="F563">
        <v>38502.19</v>
      </c>
      <c r="G563">
        <v>5.01</v>
      </c>
      <c r="H563">
        <v>120</v>
      </c>
      <c r="I563" t="s">
        <v>27</v>
      </c>
      <c r="J563">
        <v>0</v>
      </c>
      <c r="K563">
        <f t="shared" ca="1" si="48"/>
        <v>15</v>
      </c>
      <c r="L563">
        <f t="shared" ca="1" si="49"/>
        <v>0</v>
      </c>
      <c r="M563" t="str">
        <f t="shared" ca="1" si="50"/>
        <v>Low</v>
      </c>
      <c r="N563">
        <f t="shared" ca="1" si="51"/>
        <v>1.2</v>
      </c>
      <c r="O563">
        <f t="shared" ca="1" si="52"/>
        <v>0</v>
      </c>
      <c r="P563">
        <f t="shared" ca="1" si="53"/>
        <v>0</v>
      </c>
    </row>
    <row r="564" spans="1:16" x14ac:dyDescent="0.3">
      <c r="A564" t="s">
        <v>917</v>
      </c>
      <c r="B564" t="s">
        <v>78</v>
      </c>
      <c r="C564" t="s">
        <v>39</v>
      </c>
      <c r="D564" t="s">
        <v>30</v>
      </c>
      <c r="E564" s="1">
        <v>45443</v>
      </c>
      <c r="F564">
        <v>76528.84</v>
      </c>
      <c r="G564">
        <v>12.04</v>
      </c>
      <c r="H564">
        <v>84</v>
      </c>
      <c r="I564" t="s">
        <v>14</v>
      </c>
      <c r="J564">
        <v>35203</v>
      </c>
      <c r="K564">
        <f t="shared" ca="1" si="48"/>
        <v>120</v>
      </c>
      <c r="L564">
        <f t="shared" ca="1" si="49"/>
        <v>1</v>
      </c>
      <c r="M564" t="str">
        <f t="shared" ca="1" si="50"/>
        <v>High</v>
      </c>
      <c r="N564">
        <f t="shared" ca="1" si="51"/>
        <v>21</v>
      </c>
      <c r="O564">
        <f t="shared" ca="1" si="52"/>
        <v>13.44</v>
      </c>
      <c r="P564">
        <f t="shared" ca="1" si="53"/>
        <v>0</v>
      </c>
    </row>
    <row r="565" spans="1:16" x14ac:dyDescent="0.3">
      <c r="A565" t="s">
        <v>918</v>
      </c>
      <c r="B565" t="s">
        <v>494</v>
      </c>
      <c r="C565" t="s">
        <v>33</v>
      </c>
      <c r="D565" t="s">
        <v>22</v>
      </c>
      <c r="E565" s="1">
        <v>45929</v>
      </c>
      <c r="F565">
        <v>83402.23</v>
      </c>
      <c r="G565">
        <v>5.56</v>
      </c>
      <c r="H565">
        <v>180</v>
      </c>
      <c r="I565" t="s">
        <v>14</v>
      </c>
      <c r="J565">
        <v>53377</v>
      </c>
      <c r="K565">
        <f t="shared" ca="1" si="48"/>
        <v>0</v>
      </c>
      <c r="L565">
        <f t="shared" ca="1" si="49"/>
        <v>0</v>
      </c>
      <c r="M565" t="str">
        <f t="shared" ca="1" si="50"/>
        <v>Low</v>
      </c>
      <c r="N565">
        <f t="shared" ca="1" si="51"/>
        <v>1.8</v>
      </c>
      <c r="O565">
        <f t="shared" ca="1" si="52"/>
        <v>0</v>
      </c>
      <c r="P565">
        <f t="shared" ca="1" si="53"/>
        <v>70057.873199999987</v>
      </c>
    </row>
    <row r="566" spans="1:16" x14ac:dyDescent="0.3">
      <c r="A566" t="s">
        <v>919</v>
      </c>
      <c r="B566" t="s">
        <v>302</v>
      </c>
      <c r="C566" t="s">
        <v>70</v>
      </c>
      <c r="D566" t="s">
        <v>13</v>
      </c>
      <c r="E566" s="1">
        <v>46042</v>
      </c>
      <c r="F566">
        <v>24906.79</v>
      </c>
      <c r="G566">
        <v>21.35</v>
      </c>
      <c r="H566">
        <v>180</v>
      </c>
      <c r="I566" t="s">
        <v>14</v>
      </c>
      <c r="J566">
        <v>10710</v>
      </c>
      <c r="K566">
        <f t="shared" ca="1" si="48"/>
        <v>60</v>
      </c>
      <c r="L566">
        <f t="shared" ca="1" si="49"/>
        <v>0</v>
      </c>
      <c r="M566" t="str">
        <f t="shared" ca="1" si="50"/>
        <v>Medium</v>
      </c>
      <c r="N566">
        <f t="shared" ca="1" si="51"/>
        <v>18</v>
      </c>
      <c r="O566">
        <f t="shared" ca="1" si="52"/>
        <v>0</v>
      </c>
      <c r="P566">
        <f t="shared" ca="1" si="53"/>
        <v>0</v>
      </c>
    </row>
    <row r="567" spans="1:16" x14ac:dyDescent="0.3">
      <c r="A567" t="s">
        <v>920</v>
      </c>
      <c r="B567" t="s">
        <v>816</v>
      </c>
      <c r="C567" t="s">
        <v>51</v>
      </c>
      <c r="D567" t="s">
        <v>75</v>
      </c>
      <c r="E567" s="1">
        <v>45677</v>
      </c>
      <c r="F567">
        <v>81170.14</v>
      </c>
      <c r="G567">
        <v>5.68</v>
      </c>
      <c r="H567">
        <v>180</v>
      </c>
      <c r="I567" t="s">
        <v>27</v>
      </c>
      <c r="J567">
        <v>0</v>
      </c>
      <c r="K567">
        <f t="shared" ca="1" si="48"/>
        <v>30</v>
      </c>
      <c r="L567">
        <f t="shared" ca="1" si="49"/>
        <v>0</v>
      </c>
      <c r="M567" t="str">
        <f t="shared" ca="1" si="50"/>
        <v>Medium</v>
      </c>
      <c r="N567">
        <f t="shared" ca="1" si="51"/>
        <v>9</v>
      </c>
      <c r="O567">
        <f t="shared" ca="1" si="52"/>
        <v>0</v>
      </c>
      <c r="P567">
        <f t="shared" ca="1" si="53"/>
        <v>103086.0778</v>
      </c>
    </row>
    <row r="568" spans="1:16" x14ac:dyDescent="0.3">
      <c r="A568" t="s">
        <v>921</v>
      </c>
      <c r="B568" t="s">
        <v>734</v>
      </c>
      <c r="C568" t="s">
        <v>12</v>
      </c>
      <c r="D568" t="s">
        <v>22</v>
      </c>
      <c r="E568" s="1">
        <v>45373</v>
      </c>
      <c r="F568">
        <v>74466.31</v>
      </c>
      <c r="G568">
        <v>6.38</v>
      </c>
      <c r="H568">
        <v>24</v>
      </c>
      <c r="I568" t="s">
        <v>27</v>
      </c>
      <c r="J568">
        <v>0</v>
      </c>
      <c r="K568">
        <f t="shared" ca="1" si="48"/>
        <v>15</v>
      </c>
      <c r="L568">
        <f t="shared" ca="1" si="49"/>
        <v>0</v>
      </c>
      <c r="M568" t="str">
        <f t="shared" ca="1" si="50"/>
        <v>Low</v>
      </c>
      <c r="N568">
        <f t="shared" ca="1" si="51"/>
        <v>0.24</v>
      </c>
      <c r="O568">
        <f t="shared" ca="1" si="52"/>
        <v>0</v>
      </c>
      <c r="P568">
        <f t="shared" ca="1" si="53"/>
        <v>90848.898199999996</v>
      </c>
    </row>
    <row r="569" spans="1:16" x14ac:dyDescent="0.3">
      <c r="A569" t="s">
        <v>922</v>
      </c>
      <c r="B569" t="s">
        <v>826</v>
      </c>
      <c r="C569" t="s">
        <v>54</v>
      </c>
      <c r="D569" t="s">
        <v>30</v>
      </c>
      <c r="E569" s="1">
        <v>45869</v>
      </c>
      <c r="F569">
        <v>65357.37</v>
      </c>
      <c r="G569">
        <v>15.77</v>
      </c>
      <c r="H569">
        <v>60</v>
      </c>
      <c r="I569" t="s">
        <v>14</v>
      </c>
      <c r="J569">
        <v>39214</v>
      </c>
      <c r="K569">
        <f t="shared" ca="1" si="48"/>
        <v>0</v>
      </c>
      <c r="L569">
        <f t="shared" ca="1" si="49"/>
        <v>0</v>
      </c>
      <c r="M569" t="str">
        <f t="shared" ca="1" si="50"/>
        <v>Low</v>
      </c>
      <c r="N569">
        <f t="shared" ca="1" si="51"/>
        <v>0.6</v>
      </c>
      <c r="O569">
        <f t="shared" ca="1" si="52"/>
        <v>0</v>
      </c>
      <c r="P569">
        <f t="shared" ca="1" si="53"/>
        <v>0</v>
      </c>
    </row>
    <row r="570" spans="1:16" x14ac:dyDescent="0.3">
      <c r="A570" t="s">
        <v>923</v>
      </c>
      <c r="B570" t="s">
        <v>924</v>
      </c>
      <c r="C570" t="s">
        <v>54</v>
      </c>
      <c r="D570" t="s">
        <v>13</v>
      </c>
      <c r="E570" s="1">
        <v>46043</v>
      </c>
      <c r="F570">
        <v>31054.29</v>
      </c>
      <c r="G570">
        <v>6.58</v>
      </c>
      <c r="H570">
        <v>36</v>
      </c>
      <c r="I570" t="s">
        <v>14</v>
      </c>
      <c r="J570">
        <v>19254</v>
      </c>
      <c r="K570">
        <f t="shared" ca="1" si="48"/>
        <v>0</v>
      </c>
      <c r="L570">
        <f t="shared" ca="1" si="49"/>
        <v>0</v>
      </c>
      <c r="M570" t="str">
        <f t="shared" ca="1" si="50"/>
        <v>Low</v>
      </c>
      <c r="N570">
        <f t="shared" ca="1" si="51"/>
        <v>0.36</v>
      </c>
      <c r="O570">
        <f t="shared" ca="1" si="52"/>
        <v>0</v>
      </c>
      <c r="P570">
        <f t="shared" ca="1" si="53"/>
        <v>0</v>
      </c>
    </row>
    <row r="571" spans="1:16" x14ac:dyDescent="0.3">
      <c r="A571" t="s">
        <v>925</v>
      </c>
      <c r="B571" t="s">
        <v>926</v>
      </c>
      <c r="C571" t="s">
        <v>17</v>
      </c>
      <c r="D571" t="s">
        <v>18</v>
      </c>
      <c r="E571" s="1">
        <v>46009</v>
      </c>
      <c r="F571">
        <v>15921.25</v>
      </c>
      <c r="G571">
        <v>12.41</v>
      </c>
      <c r="H571">
        <v>180</v>
      </c>
      <c r="I571" t="s">
        <v>14</v>
      </c>
      <c r="J571">
        <v>10826</v>
      </c>
      <c r="K571">
        <f t="shared" ca="1" si="48"/>
        <v>90</v>
      </c>
      <c r="L571">
        <f t="shared" ca="1" si="49"/>
        <v>1</v>
      </c>
      <c r="M571" t="str">
        <f t="shared" ca="1" si="50"/>
        <v>High</v>
      </c>
      <c r="N571">
        <f t="shared" ca="1" si="51"/>
        <v>45</v>
      </c>
      <c r="O571">
        <f t="shared" ca="1" si="52"/>
        <v>19.8</v>
      </c>
      <c r="P571">
        <f t="shared" ca="1" si="53"/>
        <v>0</v>
      </c>
    </row>
    <row r="572" spans="1:16" x14ac:dyDescent="0.3">
      <c r="A572" t="s">
        <v>927</v>
      </c>
      <c r="B572" t="s">
        <v>928</v>
      </c>
      <c r="C572" t="s">
        <v>17</v>
      </c>
      <c r="D572" t="s">
        <v>22</v>
      </c>
      <c r="E572" s="1">
        <v>45504</v>
      </c>
      <c r="F572">
        <v>65658.52</v>
      </c>
      <c r="G572">
        <v>13.07</v>
      </c>
      <c r="H572">
        <v>48</v>
      </c>
      <c r="I572" t="s">
        <v>14</v>
      </c>
      <c r="J572">
        <v>33486</v>
      </c>
      <c r="K572">
        <f t="shared" ca="1" si="48"/>
        <v>30</v>
      </c>
      <c r="L572">
        <f t="shared" ca="1" si="49"/>
        <v>0</v>
      </c>
      <c r="M572" t="str">
        <f t="shared" ca="1" si="50"/>
        <v>Medium</v>
      </c>
      <c r="N572">
        <f t="shared" ca="1" si="51"/>
        <v>2.4000000000000004</v>
      </c>
      <c r="O572">
        <f t="shared" ca="1" si="52"/>
        <v>0</v>
      </c>
      <c r="P572">
        <f t="shared" ca="1" si="53"/>
        <v>72224.372000000003</v>
      </c>
    </row>
    <row r="573" spans="1:16" x14ac:dyDescent="0.3">
      <c r="A573" t="s">
        <v>929</v>
      </c>
      <c r="B573" t="s">
        <v>808</v>
      </c>
      <c r="C573" t="s">
        <v>70</v>
      </c>
      <c r="D573" t="s">
        <v>22</v>
      </c>
      <c r="E573" s="1">
        <v>45386</v>
      </c>
      <c r="F573">
        <v>59590.84</v>
      </c>
      <c r="G573">
        <v>15.57</v>
      </c>
      <c r="H573">
        <v>180</v>
      </c>
      <c r="I573" t="s">
        <v>14</v>
      </c>
      <c r="J573">
        <v>32179</v>
      </c>
      <c r="K573">
        <f t="shared" ca="1" si="48"/>
        <v>0</v>
      </c>
      <c r="L573">
        <f t="shared" ca="1" si="49"/>
        <v>0</v>
      </c>
      <c r="M573" t="str">
        <f t="shared" ca="1" si="50"/>
        <v>Low</v>
      </c>
      <c r="N573">
        <f t="shared" ca="1" si="51"/>
        <v>1.8</v>
      </c>
      <c r="O573">
        <f t="shared" ca="1" si="52"/>
        <v>0</v>
      </c>
      <c r="P573">
        <f t="shared" ca="1" si="53"/>
        <v>77468.09199999999</v>
      </c>
    </row>
    <row r="574" spans="1:16" x14ac:dyDescent="0.3">
      <c r="A574" t="s">
        <v>930</v>
      </c>
      <c r="B574" t="s">
        <v>931</v>
      </c>
      <c r="C574" t="s">
        <v>54</v>
      </c>
      <c r="D574" t="s">
        <v>26</v>
      </c>
      <c r="E574" s="1">
        <v>45436</v>
      </c>
      <c r="F574">
        <v>96916.56</v>
      </c>
      <c r="G574">
        <v>6.73</v>
      </c>
      <c r="H574">
        <v>48</v>
      </c>
      <c r="I574" t="s">
        <v>27</v>
      </c>
      <c r="J574">
        <v>0</v>
      </c>
      <c r="K574">
        <f t="shared" ca="1" si="48"/>
        <v>0</v>
      </c>
      <c r="L574">
        <f t="shared" ca="1" si="49"/>
        <v>0</v>
      </c>
      <c r="M574" t="str">
        <f t="shared" ca="1" si="50"/>
        <v>Low</v>
      </c>
      <c r="N574">
        <f t="shared" ca="1" si="51"/>
        <v>0.48</v>
      </c>
      <c r="O574">
        <f t="shared" ca="1" si="52"/>
        <v>0</v>
      </c>
      <c r="P574">
        <f t="shared" ca="1" si="53"/>
        <v>81409.910399999993</v>
      </c>
    </row>
    <row r="575" spans="1:16" x14ac:dyDescent="0.3">
      <c r="A575" t="s">
        <v>932</v>
      </c>
      <c r="B575" t="s">
        <v>777</v>
      </c>
      <c r="C575" t="s">
        <v>36</v>
      </c>
      <c r="D575" t="s">
        <v>75</v>
      </c>
      <c r="E575" s="1">
        <v>45798</v>
      </c>
      <c r="F575">
        <v>26696.720000000001</v>
      </c>
      <c r="G575">
        <v>16.41</v>
      </c>
      <c r="H575">
        <v>36</v>
      </c>
      <c r="I575" t="s">
        <v>14</v>
      </c>
      <c r="J575">
        <v>20823</v>
      </c>
      <c r="K575">
        <f t="shared" ca="1" si="48"/>
        <v>30</v>
      </c>
      <c r="L575">
        <f t="shared" ca="1" si="49"/>
        <v>0</v>
      </c>
      <c r="M575" t="str">
        <f t="shared" ca="1" si="50"/>
        <v>Medium</v>
      </c>
      <c r="N575">
        <f t="shared" ca="1" si="51"/>
        <v>1.8</v>
      </c>
      <c r="O575">
        <f t="shared" ca="1" si="52"/>
        <v>0</v>
      </c>
      <c r="P575">
        <f t="shared" ca="1" si="53"/>
        <v>18954.671200000001</v>
      </c>
    </row>
    <row r="576" spans="1:16" x14ac:dyDescent="0.3">
      <c r="A576" t="s">
        <v>933</v>
      </c>
      <c r="B576" t="s">
        <v>934</v>
      </c>
      <c r="C576" t="s">
        <v>39</v>
      </c>
      <c r="D576" t="s">
        <v>30</v>
      </c>
      <c r="E576" s="1">
        <v>46056</v>
      </c>
      <c r="F576">
        <v>3725.57</v>
      </c>
      <c r="G576">
        <v>8.35</v>
      </c>
      <c r="H576">
        <v>120</v>
      </c>
      <c r="I576" t="s">
        <v>27</v>
      </c>
      <c r="J576">
        <v>0</v>
      </c>
      <c r="K576">
        <f t="shared" ca="1" si="48"/>
        <v>90</v>
      </c>
      <c r="L576">
        <f t="shared" ca="1" si="49"/>
        <v>1</v>
      </c>
      <c r="M576" t="str">
        <f t="shared" ca="1" si="50"/>
        <v>High</v>
      </c>
      <c r="N576">
        <f t="shared" ca="1" si="51"/>
        <v>30</v>
      </c>
      <c r="O576">
        <f t="shared" ca="1" si="52"/>
        <v>34.799999999999997</v>
      </c>
      <c r="P576">
        <f t="shared" ca="1" si="53"/>
        <v>0</v>
      </c>
    </row>
    <row r="577" spans="1:16" x14ac:dyDescent="0.3">
      <c r="A577" t="s">
        <v>935</v>
      </c>
      <c r="B577" t="s">
        <v>936</v>
      </c>
      <c r="C577" t="s">
        <v>70</v>
      </c>
      <c r="D577" t="s">
        <v>26</v>
      </c>
      <c r="E577" s="1">
        <v>45716</v>
      </c>
      <c r="F577">
        <v>4447.8599999999997</v>
      </c>
      <c r="G577">
        <v>12.46</v>
      </c>
      <c r="H577">
        <v>60</v>
      </c>
      <c r="I577" t="s">
        <v>14</v>
      </c>
      <c r="J577">
        <v>3114</v>
      </c>
      <c r="K577">
        <f t="shared" ca="1" si="48"/>
        <v>0</v>
      </c>
      <c r="L577">
        <f t="shared" ca="1" si="49"/>
        <v>0</v>
      </c>
      <c r="M577" t="str">
        <f t="shared" ca="1" si="50"/>
        <v>Low</v>
      </c>
      <c r="N577">
        <f t="shared" ca="1" si="51"/>
        <v>0.6</v>
      </c>
      <c r="O577">
        <f t="shared" ca="1" si="52"/>
        <v>0</v>
      </c>
      <c r="P577">
        <f t="shared" ca="1" si="53"/>
        <v>4759.2101999999995</v>
      </c>
    </row>
    <row r="578" spans="1:16" x14ac:dyDescent="0.3">
      <c r="A578" t="s">
        <v>937</v>
      </c>
      <c r="B578" t="s">
        <v>29</v>
      </c>
      <c r="C578" t="s">
        <v>70</v>
      </c>
      <c r="D578" t="s">
        <v>22</v>
      </c>
      <c r="E578" s="1">
        <v>45400</v>
      </c>
      <c r="F578">
        <v>54281.56</v>
      </c>
      <c r="G578">
        <v>8.39</v>
      </c>
      <c r="H578">
        <v>72</v>
      </c>
      <c r="I578" t="s">
        <v>14</v>
      </c>
      <c r="J578">
        <v>46682</v>
      </c>
      <c r="K578">
        <f t="shared" ca="1" si="48"/>
        <v>0</v>
      </c>
      <c r="L578">
        <f t="shared" ca="1" si="49"/>
        <v>0</v>
      </c>
      <c r="M578" t="str">
        <f t="shared" ca="1" si="50"/>
        <v>Low</v>
      </c>
      <c r="N578">
        <f t="shared" ca="1" si="51"/>
        <v>0.72</v>
      </c>
      <c r="O578">
        <f t="shared" ca="1" si="52"/>
        <v>0</v>
      </c>
      <c r="P578">
        <f t="shared" ca="1" si="53"/>
        <v>60252.531600000002</v>
      </c>
    </row>
    <row r="579" spans="1:16" x14ac:dyDescent="0.3">
      <c r="A579" t="s">
        <v>938</v>
      </c>
      <c r="B579" t="s">
        <v>939</v>
      </c>
      <c r="C579" t="s">
        <v>51</v>
      </c>
      <c r="D579" t="s">
        <v>26</v>
      </c>
      <c r="E579" s="1">
        <v>45426</v>
      </c>
      <c r="F579">
        <v>34867.82</v>
      </c>
      <c r="G579">
        <v>10.89</v>
      </c>
      <c r="H579">
        <v>24</v>
      </c>
      <c r="I579" t="s">
        <v>14</v>
      </c>
      <c r="J579">
        <v>27546</v>
      </c>
      <c r="K579">
        <f t="shared" ref="K579:K642" ca="1" si="54">IF(I579="Paid Off",0,CHOOSE(RANDBETWEEN(1,10),0,0,0,0,15,30,45,60,90,120))</f>
        <v>0</v>
      </c>
      <c r="L579">
        <f t="shared" ref="L579:L642" ca="1" si="55">IF(K579&gt;=90,1,0)</f>
        <v>0</v>
      </c>
      <c r="M579" t="str">
        <f t="shared" ref="M579:M642" ca="1" si="56">IF(K579&gt;=90,"High",IF(K579&gt;=30,"Medium","Low"))</f>
        <v>Low</v>
      </c>
      <c r="N579">
        <f t="shared" ref="N579:N642" ca="1" si="57">IF(L579=1,H579*0.25,IF(K579&gt;=60,H579*0.1,IF(K579&gt;=30,H579*0.05,H579*0.01)))</f>
        <v>0.24</v>
      </c>
      <c r="O579">
        <f t="shared" ref="O579:O642" ca="1" si="58">IF(L579=1,H579*RANDBETWEEN(5,30)/100,0)</f>
        <v>0</v>
      </c>
      <c r="P579">
        <f t="shared" ref="P579:P642" ca="1" si="59">IF(OR(D579="P02",D579="P03",D579="P05"),F579*RANDBETWEEN(70,130)/100,0)</f>
        <v>30683.6816</v>
      </c>
    </row>
    <row r="580" spans="1:16" x14ac:dyDescent="0.3">
      <c r="A580" t="s">
        <v>940</v>
      </c>
      <c r="B580" t="s">
        <v>941</v>
      </c>
      <c r="C580" t="s">
        <v>51</v>
      </c>
      <c r="D580" t="s">
        <v>30</v>
      </c>
      <c r="E580" s="1">
        <v>45970</v>
      </c>
      <c r="F580">
        <v>40578.480000000003</v>
      </c>
      <c r="G580">
        <v>21.56</v>
      </c>
      <c r="H580">
        <v>72</v>
      </c>
      <c r="I580" t="s">
        <v>27</v>
      </c>
      <c r="J580">
        <v>0</v>
      </c>
      <c r="K580">
        <f t="shared" ca="1" si="54"/>
        <v>0</v>
      </c>
      <c r="L580">
        <f t="shared" ca="1" si="55"/>
        <v>0</v>
      </c>
      <c r="M580" t="str">
        <f t="shared" ca="1" si="56"/>
        <v>Low</v>
      </c>
      <c r="N580">
        <f t="shared" ca="1" si="57"/>
        <v>0.72</v>
      </c>
      <c r="O580">
        <f t="shared" ca="1" si="58"/>
        <v>0</v>
      </c>
      <c r="P580">
        <f t="shared" ca="1" si="59"/>
        <v>0</v>
      </c>
    </row>
    <row r="581" spans="1:16" x14ac:dyDescent="0.3">
      <c r="A581" t="s">
        <v>942</v>
      </c>
      <c r="B581" t="s">
        <v>880</v>
      </c>
      <c r="C581" t="s">
        <v>33</v>
      </c>
      <c r="D581" t="s">
        <v>26</v>
      </c>
      <c r="E581" s="1">
        <v>45730</v>
      </c>
      <c r="F581">
        <v>56994.17</v>
      </c>
      <c r="G581">
        <v>10.79</v>
      </c>
      <c r="H581">
        <v>48</v>
      </c>
      <c r="I581" t="s">
        <v>14</v>
      </c>
      <c r="J581">
        <v>38186</v>
      </c>
      <c r="K581">
        <f t="shared" ca="1" si="54"/>
        <v>0</v>
      </c>
      <c r="L581">
        <f t="shared" ca="1" si="55"/>
        <v>0</v>
      </c>
      <c r="M581" t="str">
        <f t="shared" ca="1" si="56"/>
        <v>Low</v>
      </c>
      <c r="N581">
        <f t="shared" ca="1" si="57"/>
        <v>0.48</v>
      </c>
      <c r="O581">
        <f t="shared" ca="1" si="58"/>
        <v>0</v>
      </c>
      <c r="P581">
        <f t="shared" ca="1" si="59"/>
        <v>65543.295499999993</v>
      </c>
    </row>
    <row r="582" spans="1:16" x14ac:dyDescent="0.3">
      <c r="A582" t="s">
        <v>943</v>
      </c>
      <c r="B582" t="s">
        <v>353</v>
      </c>
      <c r="C582" t="s">
        <v>33</v>
      </c>
      <c r="D582" t="s">
        <v>26</v>
      </c>
      <c r="E582" s="1">
        <v>45784</v>
      </c>
      <c r="F582">
        <v>44929.94</v>
      </c>
      <c r="G582">
        <v>6.95</v>
      </c>
      <c r="H582">
        <v>60</v>
      </c>
      <c r="I582" t="s">
        <v>14</v>
      </c>
      <c r="J582">
        <v>40886</v>
      </c>
      <c r="K582">
        <f t="shared" ca="1" si="54"/>
        <v>120</v>
      </c>
      <c r="L582">
        <f t="shared" ca="1" si="55"/>
        <v>1</v>
      </c>
      <c r="M582" t="str">
        <f t="shared" ca="1" si="56"/>
        <v>High</v>
      </c>
      <c r="N582">
        <f t="shared" ca="1" si="57"/>
        <v>15</v>
      </c>
      <c r="O582">
        <f t="shared" ca="1" si="58"/>
        <v>3</v>
      </c>
      <c r="P582">
        <f t="shared" ca="1" si="59"/>
        <v>31900.257400000002</v>
      </c>
    </row>
    <row r="583" spans="1:16" x14ac:dyDescent="0.3">
      <c r="A583" t="s">
        <v>944</v>
      </c>
      <c r="B583" t="s">
        <v>945</v>
      </c>
      <c r="C583" t="s">
        <v>12</v>
      </c>
      <c r="D583" t="s">
        <v>75</v>
      </c>
      <c r="E583" s="1">
        <v>45896</v>
      </c>
      <c r="F583">
        <v>12223.25</v>
      </c>
      <c r="G583">
        <v>17.239999999999998</v>
      </c>
      <c r="H583">
        <v>120</v>
      </c>
      <c r="I583" t="s">
        <v>19</v>
      </c>
      <c r="J583">
        <v>0</v>
      </c>
      <c r="K583">
        <f t="shared" ca="1" si="54"/>
        <v>0</v>
      </c>
      <c r="L583">
        <f t="shared" ca="1" si="55"/>
        <v>0</v>
      </c>
      <c r="M583" t="str">
        <f t="shared" ca="1" si="56"/>
        <v>Low</v>
      </c>
      <c r="N583">
        <f t="shared" ca="1" si="57"/>
        <v>1.2</v>
      </c>
      <c r="O583">
        <f t="shared" ca="1" si="58"/>
        <v>0</v>
      </c>
      <c r="P583">
        <f t="shared" ca="1" si="59"/>
        <v>9534.1350000000002</v>
      </c>
    </row>
    <row r="584" spans="1:16" x14ac:dyDescent="0.3">
      <c r="A584" t="s">
        <v>946</v>
      </c>
      <c r="B584" t="s">
        <v>750</v>
      </c>
      <c r="C584" t="s">
        <v>70</v>
      </c>
      <c r="D584" t="s">
        <v>30</v>
      </c>
      <c r="E584" s="1">
        <v>45407</v>
      </c>
      <c r="F584">
        <v>59183.040000000001</v>
      </c>
      <c r="G584">
        <v>19.850000000000001</v>
      </c>
      <c r="H584">
        <v>48</v>
      </c>
      <c r="I584" t="s">
        <v>27</v>
      </c>
      <c r="J584">
        <v>0</v>
      </c>
      <c r="K584">
        <f t="shared" ca="1" si="54"/>
        <v>45</v>
      </c>
      <c r="L584">
        <f t="shared" ca="1" si="55"/>
        <v>0</v>
      </c>
      <c r="M584" t="str">
        <f t="shared" ca="1" si="56"/>
        <v>Medium</v>
      </c>
      <c r="N584">
        <f t="shared" ca="1" si="57"/>
        <v>2.4000000000000004</v>
      </c>
      <c r="O584">
        <f t="shared" ca="1" si="58"/>
        <v>0</v>
      </c>
      <c r="P584">
        <f t="shared" ca="1" si="59"/>
        <v>0</v>
      </c>
    </row>
    <row r="585" spans="1:16" x14ac:dyDescent="0.3">
      <c r="A585" t="s">
        <v>947</v>
      </c>
      <c r="B585" t="s">
        <v>948</v>
      </c>
      <c r="C585" t="s">
        <v>36</v>
      </c>
      <c r="D585" t="s">
        <v>13</v>
      </c>
      <c r="E585" s="1">
        <v>45552</v>
      </c>
      <c r="F585">
        <v>68437.7</v>
      </c>
      <c r="G585">
        <v>7.89</v>
      </c>
      <c r="H585">
        <v>24</v>
      </c>
      <c r="I585" t="s">
        <v>14</v>
      </c>
      <c r="J585">
        <v>47906</v>
      </c>
      <c r="K585">
        <f t="shared" ca="1" si="54"/>
        <v>15</v>
      </c>
      <c r="L585">
        <f t="shared" ca="1" si="55"/>
        <v>0</v>
      </c>
      <c r="M585" t="str">
        <f t="shared" ca="1" si="56"/>
        <v>Low</v>
      </c>
      <c r="N585">
        <f t="shared" ca="1" si="57"/>
        <v>0.24</v>
      </c>
      <c r="O585">
        <f t="shared" ca="1" si="58"/>
        <v>0</v>
      </c>
      <c r="P585">
        <f t="shared" ca="1" si="59"/>
        <v>0</v>
      </c>
    </row>
    <row r="586" spans="1:16" x14ac:dyDescent="0.3">
      <c r="A586" t="s">
        <v>949</v>
      </c>
      <c r="B586" t="s">
        <v>950</v>
      </c>
      <c r="C586" t="s">
        <v>39</v>
      </c>
      <c r="D586" t="s">
        <v>30</v>
      </c>
      <c r="E586" s="1">
        <v>45655</v>
      </c>
      <c r="F586">
        <v>60646.44</v>
      </c>
      <c r="G586">
        <v>20.76</v>
      </c>
      <c r="H586">
        <v>60</v>
      </c>
      <c r="I586" t="s">
        <v>19</v>
      </c>
      <c r="J586">
        <v>0</v>
      </c>
      <c r="K586">
        <f t="shared" ca="1" si="54"/>
        <v>0</v>
      </c>
      <c r="L586">
        <f t="shared" ca="1" si="55"/>
        <v>0</v>
      </c>
      <c r="M586" t="str">
        <f t="shared" ca="1" si="56"/>
        <v>Low</v>
      </c>
      <c r="N586">
        <f t="shared" ca="1" si="57"/>
        <v>0.6</v>
      </c>
      <c r="O586">
        <f t="shared" ca="1" si="58"/>
        <v>0</v>
      </c>
      <c r="P586">
        <f t="shared" ca="1" si="59"/>
        <v>0</v>
      </c>
    </row>
    <row r="587" spans="1:16" x14ac:dyDescent="0.3">
      <c r="A587" t="s">
        <v>951</v>
      </c>
      <c r="B587" t="s">
        <v>369</v>
      </c>
      <c r="C587" t="s">
        <v>36</v>
      </c>
      <c r="D587" t="s">
        <v>26</v>
      </c>
      <c r="E587" s="1">
        <v>45746</v>
      </c>
      <c r="F587">
        <v>24559.29</v>
      </c>
      <c r="G587">
        <v>19.27</v>
      </c>
      <c r="H587">
        <v>12</v>
      </c>
      <c r="I587" t="s">
        <v>14</v>
      </c>
      <c r="J587">
        <v>16209</v>
      </c>
      <c r="K587">
        <f t="shared" ca="1" si="54"/>
        <v>0</v>
      </c>
      <c r="L587">
        <f t="shared" ca="1" si="55"/>
        <v>0</v>
      </c>
      <c r="M587" t="str">
        <f t="shared" ca="1" si="56"/>
        <v>Low</v>
      </c>
      <c r="N587">
        <f t="shared" ca="1" si="57"/>
        <v>0.12</v>
      </c>
      <c r="O587">
        <f t="shared" ca="1" si="58"/>
        <v>0</v>
      </c>
      <c r="P587">
        <f t="shared" ca="1" si="59"/>
        <v>31190.298300000002</v>
      </c>
    </row>
    <row r="588" spans="1:16" x14ac:dyDescent="0.3">
      <c r="A588" t="s">
        <v>952</v>
      </c>
      <c r="B588" t="s">
        <v>298</v>
      </c>
      <c r="C588" t="s">
        <v>33</v>
      </c>
      <c r="D588" t="s">
        <v>30</v>
      </c>
      <c r="E588" s="1">
        <v>45870</v>
      </c>
      <c r="F588">
        <v>17139.43</v>
      </c>
      <c r="G588">
        <v>11.49</v>
      </c>
      <c r="H588">
        <v>60</v>
      </c>
      <c r="I588" t="s">
        <v>14</v>
      </c>
      <c r="J588">
        <v>9255</v>
      </c>
      <c r="K588">
        <f t="shared" ca="1" si="54"/>
        <v>0</v>
      </c>
      <c r="L588">
        <f t="shared" ca="1" si="55"/>
        <v>0</v>
      </c>
      <c r="M588" t="str">
        <f t="shared" ca="1" si="56"/>
        <v>Low</v>
      </c>
      <c r="N588">
        <f t="shared" ca="1" si="57"/>
        <v>0.6</v>
      </c>
      <c r="O588">
        <f t="shared" ca="1" si="58"/>
        <v>0</v>
      </c>
      <c r="P588">
        <f t="shared" ca="1" si="59"/>
        <v>0</v>
      </c>
    </row>
    <row r="589" spans="1:16" x14ac:dyDescent="0.3">
      <c r="A589" t="s">
        <v>953</v>
      </c>
      <c r="B589" t="s">
        <v>300</v>
      </c>
      <c r="C589" t="s">
        <v>39</v>
      </c>
      <c r="D589" t="s">
        <v>13</v>
      </c>
      <c r="E589" s="1">
        <v>45552</v>
      </c>
      <c r="F589">
        <v>8203.3700000000008</v>
      </c>
      <c r="G589">
        <v>20.83</v>
      </c>
      <c r="H589">
        <v>24</v>
      </c>
      <c r="I589" t="s">
        <v>27</v>
      </c>
      <c r="J589">
        <v>0</v>
      </c>
      <c r="K589">
        <f t="shared" ca="1" si="54"/>
        <v>15</v>
      </c>
      <c r="L589">
        <f t="shared" ca="1" si="55"/>
        <v>0</v>
      </c>
      <c r="M589" t="str">
        <f t="shared" ca="1" si="56"/>
        <v>Low</v>
      </c>
      <c r="N589">
        <f t="shared" ca="1" si="57"/>
        <v>0.24</v>
      </c>
      <c r="O589">
        <f t="shared" ca="1" si="58"/>
        <v>0</v>
      </c>
      <c r="P589">
        <f t="shared" ca="1" si="59"/>
        <v>0</v>
      </c>
    </row>
    <row r="590" spans="1:16" x14ac:dyDescent="0.3">
      <c r="A590" t="s">
        <v>954</v>
      </c>
      <c r="B590" t="s">
        <v>955</v>
      </c>
      <c r="C590" t="s">
        <v>36</v>
      </c>
      <c r="D590" t="s">
        <v>26</v>
      </c>
      <c r="E590" s="1">
        <v>46133</v>
      </c>
      <c r="F590">
        <v>77246.2</v>
      </c>
      <c r="G590">
        <v>19.37</v>
      </c>
      <c r="H590">
        <v>180</v>
      </c>
      <c r="I590" t="s">
        <v>19</v>
      </c>
      <c r="J590">
        <v>0</v>
      </c>
      <c r="K590">
        <f t="shared" ca="1" si="54"/>
        <v>0</v>
      </c>
      <c r="L590">
        <f t="shared" ca="1" si="55"/>
        <v>0</v>
      </c>
      <c r="M590" t="str">
        <f t="shared" ca="1" si="56"/>
        <v>Low</v>
      </c>
      <c r="N590">
        <f t="shared" ca="1" si="57"/>
        <v>1.8</v>
      </c>
      <c r="O590">
        <f t="shared" ca="1" si="58"/>
        <v>0</v>
      </c>
      <c r="P590">
        <f t="shared" ca="1" si="59"/>
        <v>79563.585999999996</v>
      </c>
    </row>
    <row r="591" spans="1:16" x14ac:dyDescent="0.3">
      <c r="A591" t="s">
        <v>956</v>
      </c>
      <c r="B591" t="s">
        <v>238</v>
      </c>
      <c r="C591" t="s">
        <v>123</v>
      </c>
      <c r="D591" t="s">
        <v>18</v>
      </c>
      <c r="E591" s="1">
        <v>45763</v>
      </c>
      <c r="F591">
        <v>8496.11</v>
      </c>
      <c r="G591">
        <v>15.3</v>
      </c>
      <c r="H591">
        <v>120</v>
      </c>
      <c r="I591" t="s">
        <v>14</v>
      </c>
      <c r="J591">
        <v>7307</v>
      </c>
      <c r="K591">
        <f t="shared" ca="1" si="54"/>
        <v>15</v>
      </c>
      <c r="L591">
        <f t="shared" ca="1" si="55"/>
        <v>0</v>
      </c>
      <c r="M591" t="str">
        <f t="shared" ca="1" si="56"/>
        <v>Low</v>
      </c>
      <c r="N591">
        <f t="shared" ca="1" si="57"/>
        <v>1.2</v>
      </c>
      <c r="O591">
        <f t="shared" ca="1" si="58"/>
        <v>0</v>
      </c>
      <c r="P591">
        <f t="shared" ca="1" si="59"/>
        <v>0</v>
      </c>
    </row>
    <row r="592" spans="1:16" x14ac:dyDescent="0.3">
      <c r="A592" t="s">
        <v>957</v>
      </c>
      <c r="B592" t="s">
        <v>648</v>
      </c>
      <c r="C592" t="s">
        <v>36</v>
      </c>
      <c r="D592" t="s">
        <v>30</v>
      </c>
      <c r="E592" s="1">
        <v>45935</v>
      </c>
      <c r="F592">
        <v>77409.88</v>
      </c>
      <c r="G592">
        <v>13.06</v>
      </c>
      <c r="H592">
        <v>36</v>
      </c>
      <c r="I592" t="s">
        <v>14</v>
      </c>
      <c r="J592">
        <v>51091</v>
      </c>
      <c r="K592">
        <f t="shared" ca="1" si="54"/>
        <v>15</v>
      </c>
      <c r="L592">
        <f t="shared" ca="1" si="55"/>
        <v>0</v>
      </c>
      <c r="M592" t="str">
        <f t="shared" ca="1" si="56"/>
        <v>Low</v>
      </c>
      <c r="N592">
        <f t="shared" ca="1" si="57"/>
        <v>0.36</v>
      </c>
      <c r="O592">
        <f t="shared" ca="1" si="58"/>
        <v>0</v>
      </c>
      <c r="P592">
        <f t="shared" ca="1" si="59"/>
        <v>0</v>
      </c>
    </row>
    <row r="593" spans="1:16" x14ac:dyDescent="0.3">
      <c r="A593" t="s">
        <v>958</v>
      </c>
      <c r="B593" t="s">
        <v>959</v>
      </c>
      <c r="C593" t="s">
        <v>33</v>
      </c>
      <c r="D593" t="s">
        <v>22</v>
      </c>
      <c r="E593" s="1">
        <v>45537</v>
      </c>
      <c r="F593">
        <v>40186.71</v>
      </c>
      <c r="G593">
        <v>20</v>
      </c>
      <c r="H593">
        <v>240</v>
      </c>
      <c r="I593" t="s">
        <v>14</v>
      </c>
      <c r="J593">
        <v>28934</v>
      </c>
      <c r="K593">
        <f t="shared" ca="1" si="54"/>
        <v>60</v>
      </c>
      <c r="L593">
        <f t="shared" ca="1" si="55"/>
        <v>0</v>
      </c>
      <c r="M593" t="str">
        <f t="shared" ca="1" si="56"/>
        <v>Medium</v>
      </c>
      <c r="N593">
        <f t="shared" ca="1" si="57"/>
        <v>24</v>
      </c>
      <c r="O593">
        <f t="shared" ca="1" si="58"/>
        <v>0</v>
      </c>
      <c r="P593">
        <f t="shared" ca="1" si="59"/>
        <v>51840.855899999995</v>
      </c>
    </row>
    <row r="594" spans="1:16" x14ac:dyDescent="0.3">
      <c r="A594" t="s">
        <v>960</v>
      </c>
      <c r="B594" t="s">
        <v>474</v>
      </c>
      <c r="C594" t="s">
        <v>39</v>
      </c>
      <c r="D594" t="s">
        <v>22</v>
      </c>
      <c r="E594" s="1">
        <v>46050</v>
      </c>
      <c r="F594">
        <v>90817.15</v>
      </c>
      <c r="G594">
        <v>10.81</v>
      </c>
      <c r="H594">
        <v>72</v>
      </c>
      <c r="I594" t="s">
        <v>14</v>
      </c>
      <c r="J594">
        <v>40868</v>
      </c>
      <c r="K594">
        <f t="shared" ca="1" si="54"/>
        <v>90</v>
      </c>
      <c r="L594">
        <f t="shared" ca="1" si="55"/>
        <v>1</v>
      </c>
      <c r="M594" t="str">
        <f t="shared" ca="1" si="56"/>
        <v>High</v>
      </c>
      <c r="N594">
        <f t="shared" ca="1" si="57"/>
        <v>18</v>
      </c>
      <c r="O594">
        <f t="shared" ca="1" si="58"/>
        <v>12.24</v>
      </c>
      <c r="P594">
        <f t="shared" ca="1" si="59"/>
        <v>99898.865000000005</v>
      </c>
    </row>
    <row r="595" spans="1:16" x14ac:dyDescent="0.3">
      <c r="A595" t="s">
        <v>961</v>
      </c>
      <c r="B595" t="s">
        <v>962</v>
      </c>
      <c r="C595" t="s">
        <v>123</v>
      </c>
      <c r="D595" t="s">
        <v>75</v>
      </c>
      <c r="E595" s="1">
        <v>46050</v>
      </c>
      <c r="F595">
        <v>13731.78</v>
      </c>
      <c r="G595">
        <v>5.0199999999999996</v>
      </c>
      <c r="H595">
        <v>360</v>
      </c>
      <c r="I595" t="s">
        <v>14</v>
      </c>
      <c r="J595">
        <v>12771</v>
      </c>
      <c r="K595">
        <f t="shared" ca="1" si="54"/>
        <v>30</v>
      </c>
      <c r="L595">
        <f t="shared" ca="1" si="55"/>
        <v>0</v>
      </c>
      <c r="M595" t="str">
        <f t="shared" ca="1" si="56"/>
        <v>Medium</v>
      </c>
      <c r="N595">
        <f t="shared" ca="1" si="57"/>
        <v>18</v>
      </c>
      <c r="O595">
        <f t="shared" ca="1" si="58"/>
        <v>0</v>
      </c>
      <c r="P595">
        <f t="shared" ca="1" si="59"/>
        <v>16066.1826</v>
      </c>
    </row>
    <row r="596" spans="1:16" x14ac:dyDescent="0.3">
      <c r="A596" t="s">
        <v>963</v>
      </c>
      <c r="B596" t="s">
        <v>240</v>
      </c>
      <c r="C596" t="s">
        <v>17</v>
      </c>
      <c r="D596" t="s">
        <v>18</v>
      </c>
      <c r="E596" s="1">
        <v>45303</v>
      </c>
      <c r="F596">
        <v>80850.33</v>
      </c>
      <c r="G596">
        <v>19.14</v>
      </c>
      <c r="H596">
        <v>180</v>
      </c>
      <c r="I596" t="s">
        <v>27</v>
      </c>
      <c r="J596">
        <v>0</v>
      </c>
      <c r="K596">
        <f t="shared" ca="1" si="54"/>
        <v>0</v>
      </c>
      <c r="L596">
        <f t="shared" ca="1" si="55"/>
        <v>0</v>
      </c>
      <c r="M596" t="str">
        <f t="shared" ca="1" si="56"/>
        <v>Low</v>
      </c>
      <c r="N596">
        <f t="shared" ca="1" si="57"/>
        <v>1.8</v>
      </c>
      <c r="O596">
        <f t="shared" ca="1" si="58"/>
        <v>0</v>
      </c>
      <c r="P596">
        <f t="shared" ca="1" si="59"/>
        <v>0</v>
      </c>
    </row>
    <row r="597" spans="1:16" x14ac:dyDescent="0.3">
      <c r="A597" t="s">
        <v>964</v>
      </c>
      <c r="B597" t="s">
        <v>893</v>
      </c>
      <c r="C597" t="s">
        <v>36</v>
      </c>
      <c r="D597" t="s">
        <v>18</v>
      </c>
      <c r="E597" s="1">
        <v>45458</v>
      </c>
      <c r="F597">
        <v>31081.29</v>
      </c>
      <c r="G597">
        <v>5.95</v>
      </c>
      <c r="H597">
        <v>84</v>
      </c>
      <c r="I597" t="s">
        <v>14</v>
      </c>
      <c r="J597">
        <v>11811</v>
      </c>
      <c r="K597">
        <f t="shared" ca="1" si="54"/>
        <v>30</v>
      </c>
      <c r="L597">
        <f t="shared" ca="1" si="55"/>
        <v>0</v>
      </c>
      <c r="M597" t="str">
        <f t="shared" ca="1" si="56"/>
        <v>Medium</v>
      </c>
      <c r="N597">
        <f t="shared" ca="1" si="57"/>
        <v>4.2</v>
      </c>
      <c r="O597">
        <f t="shared" ca="1" si="58"/>
        <v>0</v>
      </c>
      <c r="P597">
        <f t="shared" ca="1" si="59"/>
        <v>0</v>
      </c>
    </row>
    <row r="598" spans="1:16" x14ac:dyDescent="0.3">
      <c r="A598" t="s">
        <v>965</v>
      </c>
      <c r="B598" t="s">
        <v>966</v>
      </c>
      <c r="C598" t="s">
        <v>36</v>
      </c>
      <c r="D598" t="s">
        <v>30</v>
      </c>
      <c r="E598" s="1">
        <v>45729</v>
      </c>
      <c r="F598">
        <v>35961.82</v>
      </c>
      <c r="G598">
        <v>7.38</v>
      </c>
      <c r="H598">
        <v>72</v>
      </c>
      <c r="I598" t="s">
        <v>14</v>
      </c>
      <c r="J598">
        <v>18341</v>
      </c>
      <c r="K598">
        <f t="shared" ca="1" si="54"/>
        <v>15</v>
      </c>
      <c r="L598">
        <f t="shared" ca="1" si="55"/>
        <v>0</v>
      </c>
      <c r="M598" t="str">
        <f t="shared" ca="1" si="56"/>
        <v>Low</v>
      </c>
      <c r="N598">
        <f t="shared" ca="1" si="57"/>
        <v>0.72</v>
      </c>
      <c r="O598">
        <f t="shared" ca="1" si="58"/>
        <v>0</v>
      </c>
      <c r="P598">
        <f t="shared" ca="1" si="59"/>
        <v>0</v>
      </c>
    </row>
    <row r="599" spans="1:16" x14ac:dyDescent="0.3">
      <c r="A599" t="s">
        <v>967</v>
      </c>
      <c r="B599" t="s">
        <v>968</v>
      </c>
      <c r="C599" t="s">
        <v>12</v>
      </c>
      <c r="D599" t="s">
        <v>30</v>
      </c>
      <c r="E599" s="1">
        <v>45953</v>
      </c>
      <c r="F599">
        <v>96405.52</v>
      </c>
      <c r="G599">
        <v>13.62</v>
      </c>
      <c r="H599">
        <v>72</v>
      </c>
      <c r="I599" t="s">
        <v>14</v>
      </c>
      <c r="J599">
        <v>82909</v>
      </c>
      <c r="K599">
        <f t="shared" ca="1" si="54"/>
        <v>60</v>
      </c>
      <c r="L599">
        <f t="shared" ca="1" si="55"/>
        <v>0</v>
      </c>
      <c r="M599" t="str">
        <f t="shared" ca="1" si="56"/>
        <v>Medium</v>
      </c>
      <c r="N599">
        <f t="shared" ca="1" si="57"/>
        <v>7.2</v>
      </c>
      <c r="O599">
        <f t="shared" ca="1" si="58"/>
        <v>0</v>
      </c>
      <c r="P599">
        <f t="shared" ca="1" si="59"/>
        <v>0</v>
      </c>
    </row>
    <row r="600" spans="1:16" x14ac:dyDescent="0.3">
      <c r="A600" t="s">
        <v>969</v>
      </c>
      <c r="B600" t="s">
        <v>549</v>
      </c>
      <c r="C600" t="s">
        <v>17</v>
      </c>
      <c r="D600" t="s">
        <v>30</v>
      </c>
      <c r="E600" s="1">
        <v>45725</v>
      </c>
      <c r="F600">
        <v>91424.01</v>
      </c>
      <c r="G600">
        <v>5.87</v>
      </c>
      <c r="H600">
        <v>360</v>
      </c>
      <c r="I600" t="s">
        <v>14</v>
      </c>
      <c r="J600">
        <v>44798</v>
      </c>
      <c r="K600">
        <f t="shared" ca="1" si="54"/>
        <v>0</v>
      </c>
      <c r="L600">
        <f t="shared" ca="1" si="55"/>
        <v>0</v>
      </c>
      <c r="M600" t="str">
        <f t="shared" ca="1" si="56"/>
        <v>Low</v>
      </c>
      <c r="N600">
        <f t="shared" ca="1" si="57"/>
        <v>3.6</v>
      </c>
      <c r="O600">
        <f t="shared" ca="1" si="58"/>
        <v>0</v>
      </c>
      <c r="P600">
        <f t="shared" ca="1" si="59"/>
        <v>0</v>
      </c>
    </row>
    <row r="601" spans="1:16" x14ac:dyDescent="0.3">
      <c r="A601" t="s">
        <v>970</v>
      </c>
      <c r="B601" t="s">
        <v>971</v>
      </c>
      <c r="C601" t="s">
        <v>123</v>
      </c>
      <c r="D601" t="s">
        <v>75</v>
      </c>
      <c r="E601" s="1">
        <v>45450</v>
      </c>
      <c r="F601">
        <v>70782.11</v>
      </c>
      <c r="G601">
        <v>12.32</v>
      </c>
      <c r="H601">
        <v>60</v>
      </c>
      <c r="I601" t="s">
        <v>14</v>
      </c>
      <c r="J601">
        <v>66535</v>
      </c>
      <c r="K601">
        <f t="shared" ca="1" si="54"/>
        <v>90</v>
      </c>
      <c r="L601">
        <f t="shared" ca="1" si="55"/>
        <v>1</v>
      </c>
      <c r="M601" t="str">
        <f t="shared" ca="1" si="56"/>
        <v>High</v>
      </c>
      <c r="N601">
        <f t="shared" ca="1" si="57"/>
        <v>15</v>
      </c>
      <c r="O601">
        <f t="shared" ca="1" si="58"/>
        <v>14.4</v>
      </c>
      <c r="P601">
        <f t="shared" ca="1" si="59"/>
        <v>66535.183399999994</v>
      </c>
    </row>
    <row r="602" spans="1:16" x14ac:dyDescent="0.3">
      <c r="A602" t="s">
        <v>972</v>
      </c>
      <c r="B602" t="s">
        <v>232</v>
      </c>
      <c r="C602" t="s">
        <v>25</v>
      </c>
      <c r="D602" t="s">
        <v>13</v>
      </c>
      <c r="E602" s="1">
        <v>45824</v>
      </c>
      <c r="F602">
        <v>99496.19</v>
      </c>
      <c r="G602">
        <v>6.24</v>
      </c>
      <c r="H602">
        <v>12</v>
      </c>
      <c r="I602" t="s">
        <v>19</v>
      </c>
      <c r="J602">
        <v>0</v>
      </c>
      <c r="K602">
        <f t="shared" ca="1" si="54"/>
        <v>0</v>
      </c>
      <c r="L602">
        <f t="shared" ca="1" si="55"/>
        <v>0</v>
      </c>
      <c r="M602" t="str">
        <f t="shared" ca="1" si="56"/>
        <v>Low</v>
      </c>
      <c r="N602">
        <f t="shared" ca="1" si="57"/>
        <v>0.12</v>
      </c>
      <c r="O602">
        <f t="shared" ca="1" si="58"/>
        <v>0</v>
      </c>
      <c r="P602">
        <f t="shared" ca="1" si="59"/>
        <v>0</v>
      </c>
    </row>
    <row r="603" spans="1:16" x14ac:dyDescent="0.3">
      <c r="A603" t="s">
        <v>973</v>
      </c>
      <c r="B603" t="s">
        <v>222</v>
      </c>
      <c r="C603" t="s">
        <v>39</v>
      </c>
      <c r="D603" t="s">
        <v>18</v>
      </c>
      <c r="E603" s="1">
        <v>46047</v>
      </c>
      <c r="F603">
        <v>72872.960000000006</v>
      </c>
      <c r="G603">
        <v>19.45</v>
      </c>
      <c r="H603">
        <v>120</v>
      </c>
      <c r="I603" t="s">
        <v>14</v>
      </c>
      <c r="J603">
        <v>67043</v>
      </c>
      <c r="K603">
        <f t="shared" ca="1" si="54"/>
        <v>45</v>
      </c>
      <c r="L603">
        <f t="shared" ca="1" si="55"/>
        <v>0</v>
      </c>
      <c r="M603" t="str">
        <f t="shared" ca="1" si="56"/>
        <v>Medium</v>
      </c>
      <c r="N603">
        <f t="shared" ca="1" si="57"/>
        <v>6</v>
      </c>
      <c r="O603">
        <f t="shared" ca="1" si="58"/>
        <v>0</v>
      </c>
      <c r="P603">
        <f t="shared" ca="1" si="59"/>
        <v>0</v>
      </c>
    </row>
    <row r="604" spans="1:16" x14ac:dyDescent="0.3">
      <c r="A604" t="s">
        <v>974</v>
      </c>
      <c r="B604" t="s">
        <v>229</v>
      </c>
      <c r="C604" t="s">
        <v>33</v>
      </c>
      <c r="D604" t="s">
        <v>75</v>
      </c>
      <c r="E604" s="1">
        <v>45959</v>
      </c>
      <c r="F604">
        <v>99257.53</v>
      </c>
      <c r="G604">
        <v>20.93</v>
      </c>
      <c r="H604">
        <v>240</v>
      </c>
      <c r="I604" t="s">
        <v>27</v>
      </c>
      <c r="J604">
        <v>0</v>
      </c>
      <c r="K604">
        <f t="shared" ca="1" si="54"/>
        <v>45</v>
      </c>
      <c r="L604">
        <f t="shared" ca="1" si="55"/>
        <v>0</v>
      </c>
      <c r="M604" t="str">
        <f t="shared" ca="1" si="56"/>
        <v>Medium</v>
      </c>
      <c r="N604">
        <f t="shared" ca="1" si="57"/>
        <v>12</v>
      </c>
      <c r="O604">
        <f t="shared" ca="1" si="58"/>
        <v>0</v>
      </c>
      <c r="P604">
        <f t="shared" ca="1" si="59"/>
        <v>129034.789</v>
      </c>
    </row>
    <row r="605" spans="1:16" x14ac:dyDescent="0.3">
      <c r="A605" t="s">
        <v>975</v>
      </c>
      <c r="B605" t="s">
        <v>254</v>
      </c>
      <c r="C605" t="s">
        <v>25</v>
      </c>
      <c r="D605" t="s">
        <v>13</v>
      </c>
      <c r="E605" s="1">
        <v>45568</v>
      </c>
      <c r="F605">
        <v>56749.69</v>
      </c>
      <c r="G605">
        <v>9.65</v>
      </c>
      <c r="H605">
        <v>36</v>
      </c>
      <c r="I605" t="s">
        <v>14</v>
      </c>
      <c r="J605">
        <v>36320</v>
      </c>
      <c r="K605">
        <f t="shared" ca="1" si="54"/>
        <v>45</v>
      </c>
      <c r="L605">
        <f t="shared" ca="1" si="55"/>
        <v>0</v>
      </c>
      <c r="M605" t="str">
        <f t="shared" ca="1" si="56"/>
        <v>Medium</v>
      </c>
      <c r="N605">
        <f t="shared" ca="1" si="57"/>
        <v>1.8</v>
      </c>
      <c r="O605">
        <f t="shared" ca="1" si="58"/>
        <v>0</v>
      </c>
      <c r="P605">
        <f t="shared" ca="1" si="59"/>
        <v>0</v>
      </c>
    </row>
    <row r="606" spans="1:16" x14ac:dyDescent="0.3">
      <c r="A606" t="s">
        <v>976</v>
      </c>
      <c r="B606" t="s">
        <v>977</v>
      </c>
      <c r="C606" t="s">
        <v>70</v>
      </c>
      <c r="D606" t="s">
        <v>26</v>
      </c>
      <c r="E606" s="1">
        <v>45886</v>
      </c>
      <c r="F606">
        <v>94997.54</v>
      </c>
      <c r="G606">
        <v>8.0299999999999994</v>
      </c>
      <c r="H606">
        <v>12</v>
      </c>
      <c r="I606" t="s">
        <v>14</v>
      </c>
      <c r="J606">
        <v>76948</v>
      </c>
      <c r="K606">
        <f t="shared" ca="1" si="54"/>
        <v>0</v>
      </c>
      <c r="L606">
        <f t="shared" ca="1" si="55"/>
        <v>0</v>
      </c>
      <c r="M606" t="str">
        <f t="shared" ca="1" si="56"/>
        <v>Low</v>
      </c>
      <c r="N606">
        <f t="shared" ca="1" si="57"/>
        <v>0.12</v>
      </c>
      <c r="O606">
        <f t="shared" ca="1" si="58"/>
        <v>0</v>
      </c>
      <c r="P606">
        <f t="shared" ca="1" si="59"/>
        <v>76948.007399999988</v>
      </c>
    </row>
    <row r="607" spans="1:16" x14ac:dyDescent="0.3">
      <c r="A607" t="s">
        <v>978</v>
      </c>
      <c r="B607" t="s">
        <v>979</v>
      </c>
      <c r="C607" t="s">
        <v>70</v>
      </c>
      <c r="D607" t="s">
        <v>22</v>
      </c>
      <c r="E607" s="1">
        <v>45703</v>
      </c>
      <c r="F607">
        <v>52787.48</v>
      </c>
      <c r="G607">
        <v>11.73</v>
      </c>
      <c r="H607">
        <v>36</v>
      </c>
      <c r="I607" t="s">
        <v>27</v>
      </c>
      <c r="J607">
        <v>0</v>
      </c>
      <c r="K607">
        <f t="shared" ca="1" si="54"/>
        <v>45</v>
      </c>
      <c r="L607">
        <f t="shared" ca="1" si="55"/>
        <v>0</v>
      </c>
      <c r="M607" t="str">
        <f t="shared" ca="1" si="56"/>
        <v>Medium</v>
      </c>
      <c r="N607">
        <f t="shared" ca="1" si="57"/>
        <v>1.8</v>
      </c>
      <c r="O607">
        <f t="shared" ca="1" si="58"/>
        <v>0</v>
      </c>
      <c r="P607">
        <f t="shared" ca="1" si="59"/>
        <v>38006.9856</v>
      </c>
    </row>
    <row r="608" spans="1:16" x14ac:dyDescent="0.3">
      <c r="A608" t="s">
        <v>980</v>
      </c>
      <c r="B608" t="s">
        <v>296</v>
      </c>
      <c r="C608" t="s">
        <v>54</v>
      </c>
      <c r="D608" t="s">
        <v>26</v>
      </c>
      <c r="E608" s="1">
        <v>46173</v>
      </c>
      <c r="F608">
        <v>39192.730000000003</v>
      </c>
      <c r="G608">
        <v>10.79</v>
      </c>
      <c r="H608">
        <v>84</v>
      </c>
      <c r="I608" t="s">
        <v>14</v>
      </c>
      <c r="J608">
        <v>25867</v>
      </c>
      <c r="K608">
        <f t="shared" ca="1" si="54"/>
        <v>45</v>
      </c>
      <c r="L608">
        <f t="shared" ca="1" si="55"/>
        <v>0</v>
      </c>
      <c r="M608" t="str">
        <f t="shared" ca="1" si="56"/>
        <v>Medium</v>
      </c>
      <c r="N608">
        <f t="shared" ca="1" si="57"/>
        <v>4.2</v>
      </c>
      <c r="O608">
        <f t="shared" ca="1" si="58"/>
        <v>0</v>
      </c>
      <c r="P608">
        <f t="shared" ca="1" si="59"/>
        <v>38800.802700000007</v>
      </c>
    </row>
    <row r="609" spans="1:16" x14ac:dyDescent="0.3">
      <c r="A609" t="s">
        <v>981</v>
      </c>
      <c r="B609" t="s">
        <v>726</v>
      </c>
      <c r="C609" t="s">
        <v>12</v>
      </c>
      <c r="D609" t="s">
        <v>13</v>
      </c>
      <c r="E609" s="1">
        <v>46064</v>
      </c>
      <c r="F609">
        <v>79472.33</v>
      </c>
      <c r="G609">
        <v>8.06</v>
      </c>
      <c r="H609">
        <v>12</v>
      </c>
      <c r="I609" t="s">
        <v>27</v>
      </c>
      <c r="J609">
        <v>0</v>
      </c>
      <c r="K609">
        <f t="shared" ca="1" si="54"/>
        <v>0</v>
      </c>
      <c r="L609">
        <f t="shared" ca="1" si="55"/>
        <v>0</v>
      </c>
      <c r="M609" t="str">
        <f t="shared" ca="1" si="56"/>
        <v>Low</v>
      </c>
      <c r="N609">
        <f t="shared" ca="1" si="57"/>
        <v>0.12</v>
      </c>
      <c r="O609">
        <f t="shared" ca="1" si="58"/>
        <v>0</v>
      </c>
      <c r="P609">
        <f t="shared" ca="1" si="59"/>
        <v>0</v>
      </c>
    </row>
    <row r="610" spans="1:16" x14ac:dyDescent="0.3">
      <c r="A610" t="s">
        <v>982</v>
      </c>
      <c r="B610" t="s">
        <v>983</v>
      </c>
      <c r="C610" t="s">
        <v>12</v>
      </c>
      <c r="D610" t="s">
        <v>13</v>
      </c>
      <c r="E610" s="1">
        <v>46100</v>
      </c>
      <c r="F610">
        <v>93790.97</v>
      </c>
      <c r="G610">
        <v>13.8</v>
      </c>
      <c r="H610">
        <v>120</v>
      </c>
      <c r="I610" t="s">
        <v>14</v>
      </c>
      <c r="J610">
        <v>39392</v>
      </c>
      <c r="K610">
        <f t="shared" ca="1" si="54"/>
        <v>90</v>
      </c>
      <c r="L610">
        <f t="shared" ca="1" si="55"/>
        <v>1</v>
      </c>
      <c r="M610" t="str">
        <f t="shared" ca="1" si="56"/>
        <v>High</v>
      </c>
      <c r="N610">
        <f t="shared" ca="1" si="57"/>
        <v>30</v>
      </c>
      <c r="O610">
        <f t="shared" ca="1" si="58"/>
        <v>33.6</v>
      </c>
      <c r="P610">
        <f t="shared" ca="1" si="59"/>
        <v>0</v>
      </c>
    </row>
    <row r="611" spans="1:16" x14ac:dyDescent="0.3">
      <c r="A611" t="s">
        <v>984</v>
      </c>
      <c r="B611" t="s">
        <v>172</v>
      </c>
      <c r="C611" t="s">
        <v>36</v>
      </c>
      <c r="D611" t="s">
        <v>30</v>
      </c>
      <c r="E611" s="1">
        <v>45565</v>
      </c>
      <c r="F611">
        <v>90679.37</v>
      </c>
      <c r="G611">
        <v>6.31</v>
      </c>
      <c r="H611">
        <v>240</v>
      </c>
      <c r="I611" t="s">
        <v>27</v>
      </c>
      <c r="J611">
        <v>0</v>
      </c>
      <c r="K611">
        <f t="shared" ca="1" si="54"/>
        <v>15</v>
      </c>
      <c r="L611">
        <f t="shared" ca="1" si="55"/>
        <v>0</v>
      </c>
      <c r="M611" t="str">
        <f t="shared" ca="1" si="56"/>
        <v>Low</v>
      </c>
      <c r="N611">
        <f t="shared" ca="1" si="57"/>
        <v>2.4</v>
      </c>
      <c r="O611">
        <f t="shared" ca="1" si="58"/>
        <v>0</v>
      </c>
      <c r="P611">
        <f t="shared" ca="1" si="59"/>
        <v>0</v>
      </c>
    </row>
    <row r="612" spans="1:16" x14ac:dyDescent="0.3">
      <c r="A612" t="s">
        <v>985</v>
      </c>
      <c r="B612" t="s">
        <v>136</v>
      </c>
      <c r="C612" t="s">
        <v>25</v>
      </c>
      <c r="D612" t="s">
        <v>75</v>
      </c>
      <c r="E612" s="1">
        <v>45331</v>
      </c>
      <c r="F612">
        <v>15477.33</v>
      </c>
      <c r="G612">
        <v>5.84</v>
      </c>
      <c r="H612">
        <v>72</v>
      </c>
      <c r="I612" t="s">
        <v>14</v>
      </c>
      <c r="J612">
        <v>10525</v>
      </c>
      <c r="K612">
        <f t="shared" ca="1" si="54"/>
        <v>0</v>
      </c>
      <c r="L612">
        <f t="shared" ca="1" si="55"/>
        <v>0</v>
      </c>
      <c r="M612" t="str">
        <f t="shared" ca="1" si="56"/>
        <v>Low</v>
      </c>
      <c r="N612">
        <f t="shared" ca="1" si="57"/>
        <v>0.72</v>
      </c>
      <c r="O612">
        <f t="shared" ca="1" si="58"/>
        <v>0</v>
      </c>
      <c r="P612">
        <f t="shared" ca="1" si="59"/>
        <v>19656.2091</v>
      </c>
    </row>
    <row r="613" spans="1:16" x14ac:dyDescent="0.3">
      <c r="A613" t="s">
        <v>986</v>
      </c>
      <c r="B613" t="s">
        <v>824</v>
      </c>
      <c r="C613" t="s">
        <v>39</v>
      </c>
      <c r="D613" t="s">
        <v>30</v>
      </c>
      <c r="E613" s="1">
        <v>45876</v>
      </c>
      <c r="F613">
        <v>72502.539999999994</v>
      </c>
      <c r="G613">
        <v>9.1999999999999993</v>
      </c>
      <c r="H613">
        <v>60</v>
      </c>
      <c r="I613" t="s">
        <v>19</v>
      </c>
      <c r="J613">
        <v>0</v>
      </c>
      <c r="K613">
        <f t="shared" ca="1" si="54"/>
        <v>0</v>
      </c>
      <c r="L613">
        <f t="shared" ca="1" si="55"/>
        <v>0</v>
      </c>
      <c r="M613" t="str">
        <f t="shared" ca="1" si="56"/>
        <v>Low</v>
      </c>
      <c r="N613">
        <f t="shared" ca="1" si="57"/>
        <v>0.6</v>
      </c>
      <c r="O613">
        <f t="shared" ca="1" si="58"/>
        <v>0</v>
      </c>
      <c r="P613">
        <f t="shared" ca="1" si="59"/>
        <v>0</v>
      </c>
    </row>
    <row r="614" spans="1:16" x14ac:dyDescent="0.3">
      <c r="A614" t="s">
        <v>987</v>
      </c>
      <c r="B614" t="s">
        <v>251</v>
      </c>
      <c r="C614" t="s">
        <v>36</v>
      </c>
      <c r="D614" t="s">
        <v>75</v>
      </c>
      <c r="E614" s="1">
        <v>45572</v>
      </c>
      <c r="F614">
        <v>40004.33</v>
      </c>
      <c r="G614">
        <v>17.97</v>
      </c>
      <c r="H614">
        <v>36</v>
      </c>
      <c r="I614" t="s">
        <v>19</v>
      </c>
      <c r="J614">
        <v>0</v>
      </c>
      <c r="K614">
        <f t="shared" ca="1" si="54"/>
        <v>0</v>
      </c>
      <c r="L614">
        <f t="shared" ca="1" si="55"/>
        <v>0</v>
      </c>
      <c r="M614" t="str">
        <f t="shared" ca="1" si="56"/>
        <v>Low</v>
      </c>
      <c r="N614">
        <f t="shared" ca="1" si="57"/>
        <v>0.36</v>
      </c>
      <c r="O614">
        <f t="shared" ca="1" si="58"/>
        <v>0</v>
      </c>
      <c r="P614">
        <f t="shared" ca="1" si="59"/>
        <v>33203.5939</v>
      </c>
    </row>
    <row r="615" spans="1:16" x14ac:dyDescent="0.3">
      <c r="A615" t="s">
        <v>988</v>
      </c>
      <c r="B615" t="s">
        <v>288</v>
      </c>
      <c r="C615" t="s">
        <v>36</v>
      </c>
      <c r="D615" t="s">
        <v>18</v>
      </c>
      <c r="E615" s="1">
        <v>45840</v>
      </c>
      <c r="F615">
        <v>31297.200000000001</v>
      </c>
      <c r="G615">
        <v>21.7</v>
      </c>
      <c r="H615">
        <v>24</v>
      </c>
      <c r="I615" t="s">
        <v>14</v>
      </c>
      <c r="J615">
        <v>13145</v>
      </c>
      <c r="K615">
        <f t="shared" ca="1" si="54"/>
        <v>30</v>
      </c>
      <c r="L615">
        <f t="shared" ca="1" si="55"/>
        <v>0</v>
      </c>
      <c r="M615" t="str">
        <f t="shared" ca="1" si="56"/>
        <v>Medium</v>
      </c>
      <c r="N615">
        <f t="shared" ca="1" si="57"/>
        <v>1.2000000000000002</v>
      </c>
      <c r="O615">
        <f t="shared" ca="1" si="58"/>
        <v>0</v>
      </c>
      <c r="P615">
        <f t="shared" ca="1" si="59"/>
        <v>0</v>
      </c>
    </row>
    <row r="616" spans="1:16" x14ac:dyDescent="0.3">
      <c r="A616" t="s">
        <v>989</v>
      </c>
      <c r="B616" t="s">
        <v>397</v>
      </c>
      <c r="C616" t="s">
        <v>17</v>
      </c>
      <c r="D616" t="s">
        <v>75</v>
      </c>
      <c r="E616" s="1">
        <v>45745</v>
      </c>
      <c r="F616">
        <v>56549.33</v>
      </c>
      <c r="G616">
        <v>8.32</v>
      </c>
      <c r="H616">
        <v>84</v>
      </c>
      <c r="I616" t="s">
        <v>14</v>
      </c>
      <c r="J616">
        <v>29406</v>
      </c>
      <c r="K616">
        <f t="shared" ca="1" si="54"/>
        <v>60</v>
      </c>
      <c r="L616">
        <f t="shared" ca="1" si="55"/>
        <v>0</v>
      </c>
      <c r="M616" t="str">
        <f t="shared" ca="1" si="56"/>
        <v>Medium</v>
      </c>
      <c r="N616">
        <f t="shared" ca="1" si="57"/>
        <v>8.4</v>
      </c>
      <c r="O616">
        <f t="shared" ca="1" si="58"/>
        <v>0</v>
      </c>
      <c r="P616">
        <f t="shared" ca="1" si="59"/>
        <v>61638.769699999997</v>
      </c>
    </row>
    <row r="617" spans="1:16" x14ac:dyDescent="0.3">
      <c r="A617" t="s">
        <v>990</v>
      </c>
      <c r="B617" t="s">
        <v>421</v>
      </c>
      <c r="C617" t="s">
        <v>33</v>
      </c>
      <c r="D617" t="s">
        <v>30</v>
      </c>
      <c r="E617" s="1">
        <v>45434</v>
      </c>
      <c r="F617">
        <v>14905.47</v>
      </c>
      <c r="G617">
        <v>14.65</v>
      </c>
      <c r="H617">
        <v>240</v>
      </c>
      <c r="I617" t="s">
        <v>14</v>
      </c>
      <c r="J617">
        <v>10881</v>
      </c>
      <c r="K617">
        <f t="shared" ca="1" si="54"/>
        <v>45</v>
      </c>
      <c r="L617">
        <f t="shared" ca="1" si="55"/>
        <v>0</v>
      </c>
      <c r="M617" t="str">
        <f t="shared" ca="1" si="56"/>
        <v>Medium</v>
      </c>
      <c r="N617">
        <f t="shared" ca="1" si="57"/>
        <v>12</v>
      </c>
      <c r="O617">
        <f t="shared" ca="1" si="58"/>
        <v>0</v>
      </c>
      <c r="P617">
        <f t="shared" ca="1" si="59"/>
        <v>0</v>
      </c>
    </row>
    <row r="618" spans="1:16" x14ac:dyDescent="0.3">
      <c r="A618" t="s">
        <v>991</v>
      </c>
      <c r="B618" t="s">
        <v>992</v>
      </c>
      <c r="C618" t="s">
        <v>54</v>
      </c>
      <c r="D618" t="s">
        <v>22</v>
      </c>
      <c r="E618" s="1">
        <v>46046</v>
      </c>
      <c r="F618">
        <v>80474.22</v>
      </c>
      <c r="G618">
        <v>15.21</v>
      </c>
      <c r="H618">
        <v>120</v>
      </c>
      <c r="I618" t="s">
        <v>14</v>
      </c>
      <c r="J618">
        <v>41847</v>
      </c>
      <c r="K618">
        <f t="shared" ca="1" si="54"/>
        <v>120</v>
      </c>
      <c r="L618">
        <f t="shared" ca="1" si="55"/>
        <v>1</v>
      </c>
      <c r="M618" t="str">
        <f t="shared" ca="1" si="56"/>
        <v>High</v>
      </c>
      <c r="N618">
        <f t="shared" ca="1" si="57"/>
        <v>30</v>
      </c>
      <c r="O618">
        <f t="shared" ca="1" si="58"/>
        <v>19.2</v>
      </c>
      <c r="P618">
        <f t="shared" ca="1" si="59"/>
        <v>88521.641999999993</v>
      </c>
    </row>
    <row r="619" spans="1:16" x14ac:dyDescent="0.3">
      <c r="A619" t="s">
        <v>993</v>
      </c>
      <c r="B619" t="s">
        <v>994</v>
      </c>
      <c r="C619" t="s">
        <v>39</v>
      </c>
      <c r="D619" t="s">
        <v>18</v>
      </c>
      <c r="E619" s="1">
        <v>45907</v>
      </c>
      <c r="F619">
        <v>6584.91</v>
      </c>
      <c r="G619">
        <v>11.34</v>
      </c>
      <c r="H619">
        <v>360</v>
      </c>
      <c r="I619" t="s">
        <v>27</v>
      </c>
      <c r="J619">
        <v>0</v>
      </c>
      <c r="K619">
        <f t="shared" ca="1" si="54"/>
        <v>60</v>
      </c>
      <c r="L619">
        <f t="shared" ca="1" si="55"/>
        <v>0</v>
      </c>
      <c r="M619" t="str">
        <f t="shared" ca="1" si="56"/>
        <v>Medium</v>
      </c>
      <c r="N619">
        <f t="shared" ca="1" si="57"/>
        <v>36</v>
      </c>
      <c r="O619">
        <f t="shared" ca="1" si="58"/>
        <v>0</v>
      </c>
      <c r="P619">
        <f t="shared" ca="1" si="59"/>
        <v>0</v>
      </c>
    </row>
    <row r="620" spans="1:16" x14ac:dyDescent="0.3">
      <c r="A620" t="s">
        <v>995</v>
      </c>
      <c r="B620" t="s">
        <v>730</v>
      </c>
      <c r="C620" t="s">
        <v>12</v>
      </c>
      <c r="D620" t="s">
        <v>75</v>
      </c>
      <c r="E620" s="1">
        <v>45631</v>
      </c>
      <c r="F620">
        <v>10432.620000000001</v>
      </c>
      <c r="G620">
        <v>14.47</v>
      </c>
      <c r="H620">
        <v>48</v>
      </c>
      <c r="I620" t="s">
        <v>14</v>
      </c>
      <c r="J620">
        <v>6781</v>
      </c>
      <c r="K620">
        <f t="shared" ca="1" si="54"/>
        <v>0</v>
      </c>
      <c r="L620">
        <f t="shared" ca="1" si="55"/>
        <v>0</v>
      </c>
      <c r="M620" t="str">
        <f t="shared" ca="1" si="56"/>
        <v>Low</v>
      </c>
      <c r="N620">
        <f t="shared" ca="1" si="57"/>
        <v>0.48</v>
      </c>
      <c r="O620">
        <f t="shared" ca="1" si="58"/>
        <v>0</v>
      </c>
      <c r="P620">
        <f t="shared" ca="1" si="59"/>
        <v>13562.406000000001</v>
      </c>
    </row>
    <row r="621" spans="1:16" x14ac:dyDescent="0.3">
      <c r="A621" t="s">
        <v>996</v>
      </c>
      <c r="B621" t="s">
        <v>853</v>
      </c>
      <c r="C621" t="s">
        <v>33</v>
      </c>
      <c r="D621" t="s">
        <v>22</v>
      </c>
      <c r="E621" s="1">
        <v>46143</v>
      </c>
      <c r="F621">
        <v>7410.9</v>
      </c>
      <c r="G621">
        <v>20.59</v>
      </c>
      <c r="H621">
        <v>24</v>
      </c>
      <c r="I621" t="s">
        <v>14</v>
      </c>
      <c r="J621">
        <v>4002</v>
      </c>
      <c r="K621">
        <f t="shared" ca="1" si="54"/>
        <v>0</v>
      </c>
      <c r="L621">
        <f t="shared" ca="1" si="55"/>
        <v>0</v>
      </c>
      <c r="M621" t="str">
        <f t="shared" ca="1" si="56"/>
        <v>Low</v>
      </c>
      <c r="N621">
        <f t="shared" ca="1" si="57"/>
        <v>0.24</v>
      </c>
      <c r="O621">
        <f t="shared" ca="1" si="58"/>
        <v>0</v>
      </c>
      <c r="P621">
        <f t="shared" ca="1" si="59"/>
        <v>6521.5919999999996</v>
      </c>
    </row>
    <row r="622" spans="1:16" x14ac:dyDescent="0.3">
      <c r="A622" t="s">
        <v>997</v>
      </c>
      <c r="B622" t="s">
        <v>907</v>
      </c>
      <c r="C622" t="s">
        <v>12</v>
      </c>
      <c r="D622" t="s">
        <v>18</v>
      </c>
      <c r="E622" s="1">
        <v>45839</v>
      </c>
      <c r="F622">
        <v>50683.4</v>
      </c>
      <c r="G622">
        <v>11.07</v>
      </c>
      <c r="H622">
        <v>24</v>
      </c>
      <c r="I622" t="s">
        <v>14</v>
      </c>
      <c r="J622">
        <v>45108</v>
      </c>
      <c r="K622">
        <f t="shared" ca="1" si="54"/>
        <v>0</v>
      </c>
      <c r="L622">
        <f t="shared" ca="1" si="55"/>
        <v>0</v>
      </c>
      <c r="M622" t="str">
        <f t="shared" ca="1" si="56"/>
        <v>Low</v>
      </c>
      <c r="N622">
        <f t="shared" ca="1" si="57"/>
        <v>0.24</v>
      </c>
      <c r="O622">
        <f t="shared" ca="1" si="58"/>
        <v>0</v>
      </c>
      <c r="P622">
        <f t="shared" ca="1" si="59"/>
        <v>0</v>
      </c>
    </row>
    <row r="623" spans="1:16" x14ac:dyDescent="0.3">
      <c r="A623" t="s">
        <v>998</v>
      </c>
      <c r="B623" t="s">
        <v>999</v>
      </c>
      <c r="C623" t="s">
        <v>51</v>
      </c>
      <c r="D623" t="s">
        <v>22</v>
      </c>
      <c r="E623" s="1">
        <v>45991</v>
      </c>
      <c r="F623">
        <v>70836.5</v>
      </c>
      <c r="G623">
        <v>21.33</v>
      </c>
      <c r="H623">
        <v>24</v>
      </c>
      <c r="I623" t="s">
        <v>27</v>
      </c>
      <c r="J623">
        <v>0</v>
      </c>
      <c r="K623">
        <f t="shared" ca="1" si="54"/>
        <v>0</v>
      </c>
      <c r="L623">
        <f t="shared" ca="1" si="55"/>
        <v>0</v>
      </c>
      <c r="M623" t="str">
        <f t="shared" ca="1" si="56"/>
        <v>Low</v>
      </c>
      <c r="N623">
        <f t="shared" ca="1" si="57"/>
        <v>0.24</v>
      </c>
      <c r="O623">
        <f t="shared" ca="1" si="58"/>
        <v>0</v>
      </c>
      <c r="P623">
        <f t="shared" ca="1" si="59"/>
        <v>84295.434999999998</v>
      </c>
    </row>
    <row r="624" spans="1:16" x14ac:dyDescent="0.3">
      <c r="A624" t="s">
        <v>1000</v>
      </c>
      <c r="B624" t="s">
        <v>785</v>
      </c>
      <c r="C624" t="s">
        <v>54</v>
      </c>
      <c r="D624" t="s">
        <v>18</v>
      </c>
      <c r="E624" s="1">
        <v>45441</v>
      </c>
      <c r="F624">
        <v>18586.45</v>
      </c>
      <c r="G624">
        <v>18.3</v>
      </c>
      <c r="H624">
        <v>36</v>
      </c>
      <c r="I624" t="s">
        <v>14</v>
      </c>
      <c r="J624">
        <v>14497</v>
      </c>
      <c r="K624">
        <f t="shared" ca="1" si="54"/>
        <v>0</v>
      </c>
      <c r="L624">
        <f t="shared" ca="1" si="55"/>
        <v>0</v>
      </c>
      <c r="M624" t="str">
        <f t="shared" ca="1" si="56"/>
        <v>Low</v>
      </c>
      <c r="N624">
        <f t="shared" ca="1" si="57"/>
        <v>0.36</v>
      </c>
      <c r="O624">
        <f t="shared" ca="1" si="58"/>
        <v>0</v>
      </c>
      <c r="P624">
        <f t="shared" ca="1" si="59"/>
        <v>0</v>
      </c>
    </row>
    <row r="625" spans="1:16" x14ac:dyDescent="0.3">
      <c r="A625" t="s">
        <v>1001</v>
      </c>
      <c r="B625" t="s">
        <v>330</v>
      </c>
      <c r="C625" t="s">
        <v>54</v>
      </c>
      <c r="D625" t="s">
        <v>22</v>
      </c>
      <c r="E625" s="1">
        <v>45569</v>
      </c>
      <c r="F625">
        <v>76996.95</v>
      </c>
      <c r="G625">
        <v>10.98</v>
      </c>
      <c r="H625">
        <v>360</v>
      </c>
      <c r="I625" t="s">
        <v>14</v>
      </c>
      <c r="J625">
        <v>36189</v>
      </c>
      <c r="K625">
        <f t="shared" ca="1" si="54"/>
        <v>0</v>
      </c>
      <c r="L625">
        <f t="shared" ca="1" si="55"/>
        <v>0</v>
      </c>
      <c r="M625" t="str">
        <f t="shared" ca="1" si="56"/>
        <v>Low</v>
      </c>
      <c r="N625">
        <f t="shared" ca="1" si="57"/>
        <v>3.6</v>
      </c>
      <c r="O625">
        <f t="shared" ca="1" si="58"/>
        <v>0</v>
      </c>
      <c r="P625">
        <f t="shared" ca="1" si="59"/>
        <v>94706.248500000002</v>
      </c>
    </row>
    <row r="626" spans="1:16" x14ac:dyDescent="0.3">
      <c r="A626" t="s">
        <v>1002</v>
      </c>
      <c r="B626" t="s">
        <v>948</v>
      </c>
      <c r="C626" t="s">
        <v>17</v>
      </c>
      <c r="D626" t="s">
        <v>13</v>
      </c>
      <c r="E626" s="1">
        <v>45710</v>
      </c>
      <c r="F626">
        <v>76647.509999999995</v>
      </c>
      <c r="G626">
        <v>20.43</v>
      </c>
      <c r="H626">
        <v>84</v>
      </c>
      <c r="I626" t="s">
        <v>19</v>
      </c>
      <c r="J626">
        <v>0</v>
      </c>
      <c r="K626">
        <f t="shared" ca="1" si="54"/>
        <v>0</v>
      </c>
      <c r="L626">
        <f t="shared" ca="1" si="55"/>
        <v>0</v>
      </c>
      <c r="M626" t="str">
        <f t="shared" ca="1" si="56"/>
        <v>Low</v>
      </c>
      <c r="N626">
        <f t="shared" ca="1" si="57"/>
        <v>0.84</v>
      </c>
      <c r="O626">
        <f t="shared" ca="1" si="58"/>
        <v>0</v>
      </c>
      <c r="P626">
        <f t="shared" ca="1" si="59"/>
        <v>0</v>
      </c>
    </row>
    <row r="627" spans="1:16" x14ac:dyDescent="0.3">
      <c r="A627" t="s">
        <v>1003</v>
      </c>
      <c r="B627" t="s">
        <v>643</v>
      </c>
      <c r="C627" t="s">
        <v>51</v>
      </c>
      <c r="D627" t="s">
        <v>22</v>
      </c>
      <c r="E627" s="1">
        <v>45413</v>
      </c>
      <c r="F627">
        <v>19373.32</v>
      </c>
      <c r="G627">
        <v>16.78</v>
      </c>
      <c r="H627">
        <v>240</v>
      </c>
      <c r="I627" t="s">
        <v>14</v>
      </c>
      <c r="J627">
        <v>14530</v>
      </c>
      <c r="K627">
        <f t="shared" ca="1" si="54"/>
        <v>45</v>
      </c>
      <c r="L627">
        <f t="shared" ca="1" si="55"/>
        <v>0</v>
      </c>
      <c r="M627" t="str">
        <f t="shared" ca="1" si="56"/>
        <v>Medium</v>
      </c>
      <c r="N627">
        <f t="shared" ca="1" si="57"/>
        <v>12</v>
      </c>
      <c r="O627">
        <f t="shared" ca="1" si="58"/>
        <v>0</v>
      </c>
      <c r="P627">
        <f t="shared" ca="1" si="59"/>
        <v>23441.717199999999</v>
      </c>
    </row>
    <row r="628" spans="1:16" x14ac:dyDescent="0.3">
      <c r="A628" t="s">
        <v>1004</v>
      </c>
      <c r="B628" t="s">
        <v>726</v>
      </c>
      <c r="C628" t="s">
        <v>25</v>
      </c>
      <c r="D628" t="s">
        <v>75</v>
      </c>
      <c r="E628" s="1">
        <v>45616</v>
      </c>
      <c r="F628">
        <v>88580.17</v>
      </c>
      <c r="G628">
        <v>7.85</v>
      </c>
      <c r="H628">
        <v>240</v>
      </c>
      <c r="I628" t="s">
        <v>14</v>
      </c>
      <c r="J628">
        <v>37204</v>
      </c>
      <c r="K628">
        <f t="shared" ca="1" si="54"/>
        <v>120</v>
      </c>
      <c r="L628">
        <f t="shared" ca="1" si="55"/>
        <v>1</v>
      </c>
      <c r="M628" t="str">
        <f t="shared" ca="1" si="56"/>
        <v>High</v>
      </c>
      <c r="N628">
        <f t="shared" ca="1" si="57"/>
        <v>60</v>
      </c>
      <c r="O628">
        <f t="shared" ca="1" si="58"/>
        <v>69.599999999999994</v>
      </c>
      <c r="P628">
        <f t="shared" ca="1" si="59"/>
        <v>91237.575100000002</v>
      </c>
    </row>
    <row r="629" spans="1:16" x14ac:dyDescent="0.3">
      <c r="A629" t="s">
        <v>1005</v>
      </c>
      <c r="B629" t="s">
        <v>1006</v>
      </c>
      <c r="C629" t="s">
        <v>123</v>
      </c>
      <c r="D629" t="s">
        <v>13</v>
      </c>
      <c r="E629" s="1">
        <v>45620</v>
      </c>
      <c r="F629">
        <v>68654.13</v>
      </c>
      <c r="G629">
        <v>13.88</v>
      </c>
      <c r="H629">
        <v>60</v>
      </c>
      <c r="I629" t="s">
        <v>14</v>
      </c>
      <c r="J629">
        <v>43252</v>
      </c>
      <c r="K629">
        <f t="shared" ca="1" si="54"/>
        <v>120</v>
      </c>
      <c r="L629">
        <f t="shared" ca="1" si="55"/>
        <v>1</v>
      </c>
      <c r="M629" t="str">
        <f t="shared" ca="1" si="56"/>
        <v>High</v>
      </c>
      <c r="N629">
        <f t="shared" ca="1" si="57"/>
        <v>15</v>
      </c>
      <c r="O629">
        <f t="shared" ca="1" si="58"/>
        <v>5.4</v>
      </c>
      <c r="P629">
        <f t="shared" ca="1" si="59"/>
        <v>0</v>
      </c>
    </row>
    <row r="630" spans="1:16" x14ac:dyDescent="0.3">
      <c r="A630" t="s">
        <v>1007</v>
      </c>
      <c r="B630" t="s">
        <v>474</v>
      </c>
      <c r="C630" t="s">
        <v>33</v>
      </c>
      <c r="D630" t="s">
        <v>22</v>
      </c>
      <c r="E630" s="1">
        <v>46058</v>
      </c>
      <c r="F630">
        <v>99547.13</v>
      </c>
      <c r="G630">
        <v>6.12</v>
      </c>
      <c r="H630">
        <v>84</v>
      </c>
      <c r="I630" t="s">
        <v>27</v>
      </c>
      <c r="J630">
        <v>0</v>
      </c>
      <c r="K630">
        <f t="shared" ca="1" si="54"/>
        <v>0</v>
      </c>
      <c r="L630">
        <f t="shared" ca="1" si="55"/>
        <v>0</v>
      </c>
      <c r="M630" t="str">
        <f t="shared" ca="1" si="56"/>
        <v>Low</v>
      </c>
      <c r="N630">
        <f t="shared" ca="1" si="57"/>
        <v>0.84</v>
      </c>
      <c r="O630">
        <f t="shared" ca="1" si="58"/>
        <v>0</v>
      </c>
      <c r="P630">
        <f t="shared" ca="1" si="59"/>
        <v>123438.44120000002</v>
      </c>
    </row>
    <row r="631" spans="1:16" x14ac:dyDescent="0.3">
      <c r="A631" t="s">
        <v>1008</v>
      </c>
      <c r="B631" t="s">
        <v>1009</v>
      </c>
      <c r="C631" t="s">
        <v>123</v>
      </c>
      <c r="D631" t="s">
        <v>22</v>
      </c>
      <c r="E631" s="1">
        <v>46032</v>
      </c>
      <c r="F631">
        <v>67980</v>
      </c>
      <c r="G631">
        <v>6.02</v>
      </c>
      <c r="H631">
        <v>240</v>
      </c>
      <c r="I631" t="s">
        <v>14</v>
      </c>
      <c r="J631">
        <v>31271</v>
      </c>
      <c r="K631">
        <f t="shared" ca="1" si="54"/>
        <v>0</v>
      </c>
      <c r="L631">
        <f t="shared" ca="1" si="55"/>
        <v>0</v>
      </c>
      <c r="M631" t="str">
        <f t="shared" ca="1" si="56"/>
        <v>Low</v>
      </c>
      <c r="N631">
        <f t="shared" ca="1" si="57"/>
        <v>2.4</v>
      </c>
      <c r="O631">
        <f t="shared" ca="1" si="58"/>
        <v>0</v>
      </c>
      <c r="P631">
        <f t="shared" ca="1" si="59"/>
        <v>64581</v>
      </c>
    </row>
    <row r="632" spans="1:16" x14ac:dyDescent="0.3">
      <c r="A632" t="s">
        <v>1010</v>
      </c>
      <c r="B632" t="s">
        <v>172</v>
      </c>
      <c r="C632" t="s">
        <v>39</v>
      </c>
      <c r="D632" t="s">
        <v>75</v>
      </c>
      <c r="E632" s="1">
        <v>45581</v>
      </c>
      <c r="F632">
        <v>49806.71</v>
      </c>
      <c r="G632">
        <v>18.12</v>
      </c>
      <c r="H632">
        <v>180</v>
      </c>
      <c r="I632" t="s">
        <v>14</v>
      </c>
      <c r="J632">
        <v>34367</v>
      </c>
      <c r="K632">
        <f t="shared" ca="1" si="54"/>
        <v>0</v>
      </c>
      <c r="L632">
        <f t="shared" ca="1" si="55"/>
        <v>0</v>
      </c>
      <c r="M632" t="str">
        <f t="shared" ca="1" si="56"/>
        <v>Low</v>
      </c>
      <c r="N632">
        <f t="shared" ca="1" si="57"/>
        <v>1.8</v>
      </c>
      <c r="O632">
        <f t="shared" ca="1" si="58"/>
        <v>0</v>
      </c>
      <c r="P632">
        <f t="shared" ca="1" si="59"/>
        <v>57277.716499999995</v>
      </c>
    </row>
    <row r="633" spans="1:16" x14ac:dyDescent="0.3">
      <c r="A633" t="s">
        <v>1011</v>
      </c>
      <c r="B633" t="s">
        <v>948</v>
      </c>
      <c r="C633" t="s">
        <v>51</v>
      </c>
      <c r="D633" t="s">
        <v>22</v>
      </c>
      <c r="E633" s="1">
        <v>45437</v>
      </c>
      <c r="F633">
        <v>9396.7900000000009</v>
      </c>
      <c r="G633">
        <v>8.1</v>
      </c>
      <c r="H633">
        <v>36</v>
      </c>
      <c r="I633" t="s">
        <v>27</v>
      </c>
      <c r="J633">
        <v>0</v>
      </c>
      <c r="K633">
        <f t="shared" ca="1" si="54"/>
        <v>0</v>
      </c>
      <c r="L633">
        <f t="shared" ca="1" si="55"/>
        <v>0</v>
      </c>
      <c r="M633" t="str">
        <f t="shared" ca="1" si="56"/>
        <v>Low</v>
      </c>
      <c r="N633">
        <f t="shared" ca="1" si="57"/>
        <v>0.36</v>
      </c>
      <c r="O633">
        <f t="shared" ca="1" si="58"/>
        <v>0</v>
      </c>
      <c r="P633">
        <f t="shared" ca="1" si="59"/>
        <v>8739.0147000000015</v>
      </c>
    </row>
    <row r="634" spans="1:16" x14ac:dyDescent="0.3">
      <c r="A634" t="s">
        <v>1012</v>
      </c>
      <c r="B634" t="s">
        <v>417</v>
      </c>
      <c r="C634" t="s">
        <v>36</v>
      </c>
      <c r="D634" t="s">
        <v>75</v>
      </c>
      <c r="E634" s="1">
        <v>45583</v>
      </c>
      <c r="F634">
        <v>78472.63</v>
      </c>
      <c r="G634">
        <v>15.42</v>
      </c>
      <c r="H634">
        <v>360</v>
      </c>
      <c r="I634" t="s">
        <v>19</v>
      </c>
      <c r="J634">
        <v>0</v>
      </c>
      <c r="K634">
        <f t="shared" ca="1" si="54"/>
        <v>0</v>
      </c>
      <c r="L634">
        <f t="shared" ca="1" si="55"/>
        <v>0</v>
      </c>
      <c r="M634" t="str">
        <f t="shared" ca="1" si="56"/>
        <v>Low</v>
      </c>
      <c r="N634">
        <f t="shared" ca="1" si="57"/>
        <v>3.6</v>
      </c>
      <c r="O634">
        <f t="shared" ca="1" si="58"/>
        <v>0</v>
      </c>
      <c r="P634">
        <f t="shared" ca="1" si="59"/>
        <v>97306.061200000011</v>
      </c>
    </row>
    <row r="635" spans="1:16" x14ac:dyDescent="0.3">
      <c r="A635" t="s">
        <v>1013</v>
      </c>
      <c r="B635" t="s">
        <v>90</v>
      </c>
      <c r="C635" t="s">
        <v>123</v>
      </c>
      <c r="D635" t="s">
        <v>18</v>
      </c>
      <c r="E635" s="1">
        <v>45353</v>
      </c>
      <c r="F635">
        <v>78433.78</v>
      </c>
      <c r="G635">
        <v>12.23</v>
      </c>
      <c r="H635">
        <v>48</v>
      </c>
      <c r="I635" t="s">
        <v>27</v>
      </c>
      <c r="J635">
        <v>0</v>
      </c>
      <c r="K635">
        <f t="shared" ca="1" si="54"/>
        <v>15</v>
      </c>
      <c r="L635">
        <f t="shared" ca="1" si="55"/>
        <v>0</v>
      </c>
      <c r="M635" t="str">
        <f t="shared" ca="1" si="56"/>
        <v>Low</v>
      </c>
      <c r="N635">
        <f t="shared" ca="1" si="57"/>
        <v>0.48</v>
      </c>
      <c r="O635">
        <f t="shared" ca="1" si="58"/>
        <v>0</v>
      </c>
      <c r="P635">
        <f t="shared" ca="1" si="59"/>
        <v>0</v>
      </c>
    </row>
    <row r="636" spans="1:16" x14ac:dyDescent="0.3">
      <c r="A636" t="s">
        <v>1014</v>
      </c>
      <c r="B636" t="s">
        <v>179</v>
      </c>
      <c r="C636" t="s">
        <v>39</v>
      </c>
      <c r="D636" t="s">
        <v>22</v>
      </c>
      <c r="E636" s="1">
        <v>45533</v>
      </c>
      <c r="F636">
        <v>94638.61</v>
      </c>
      <c r="G636">
        <v>5.44</v>
      </c>
      <c r="H636">
        <v>60</v>
      </c>
      <c r="I636" t="s">
        <v>14</v>
      </c>
      <c r="J636">
        <v>69086</v>
      </c>
      <c r="K636">
        <f t="shared" ca="1" si="54"/>
        <v>30</v>
      </c>
      <c r="L636">
        <f t="shared" ca="1" si="55"/>
        <v>0</v>
      </c>
      <c r="M636" t="str">
        <f t="shared" ca="1" si="56"/>
        <v>Medium</v>
      </c>
      <c r="N636">
        <f t="shared" ca="1" si="57"/>
        <v>3</v>
      </c>
      <c r="O636">
        <f t="shared" ca="1" si="58"/>
        <v>0</v>
      </c>
      <c r="P636">
        <f t="shared" ca="1" si="59"/>
        <v>95584.996099999989</v>
      </c>
    </row>
    <row r="637" spans="1:16" x14ac:dyDescent="0.3">
      <c r="A637" t="s">
        <v>1015</v>
      </c>
      <c r="B637" t="s">
        <v>1016</v>
      </c>
      <c r="C637" t="s">
        <v>33</v>
      </c>
      <c r="D637" t="s">
        <v>26</v>
      </c>
      <c r="E637" s="1">
        <v>46139</v>
      </c>
      <c r="F637">
        <v>43790.38</v>
      </c>
      <c r="G637">
        <v>7.41</v>
      </c>
      <c r="H637">
        <v>24</v>
      </c>
      <c r="I637" t="s">
        <v>14</v>
      </c>
      <c r="J637">
        <v>15327</v>
      </c>
      <c r="K637">
        <f t="shared" ca="1" si="54"/>
        <v>120</v>
      </c>
      <c r="L637">
        <f t="shared" ca="1" si="55"/>
        <v>1</v>
      </c>
      <c r="M637" t="str">
        <f t="shared" ca="1" si="56"/>
        <v>High</v>
      </c>
      <c r="N637">
        <f t="shared" ca="1" si="57"/>
        <v>6</v>
      </c>
      <c r="O637">
        <f t="shared" ca="1" si="58"/>
        <v>4.32</v>
      </c>
      <c r="P637">
        <f t="shared" ca="1" si="59"/>
        <v>31966.977399999996</v>
      </c>
    </row>
    <row r="638" spans="1:16" x14ac:dyDescent="0.3">
      <c r="A638" t="s">
        <v>1017</v>
      </c>
      <c r="B638" t="s">
        <v>242</v>
      </c>
      <c r="C638" t="s">
        <v>17</v>
      </c>
      <c r="D638" t="s">
        <v>13</v>
      </c>
      <c r="E638" s="1">
        <v>45539</v>
      </c>
      <c r="F638">
        <v>85802.75</v>
      </c>
      <c r="G638">
        <v>18.25</v>
      </c>
      <c r="H638">
        <v>12</v>
      </c>
      <c r="I638" t="s">
        <v>14</v>
      </c>
      <c r="J638">
        <v>34321</v>
      </c>
      <c r="K638">
        <f t="shared" ca="1" si="54"/>
        <v>0</v>
      </c>
      <c r="L638">
        <f t="shared" ca="1" si="55"/>
        <v>0</v>
      </c>
      <c r="M638" t="str">
        <f t="shared" ca="1" si="56"/>
        <v>Low</v>
      </c>
      <c r="N638">
        <f t="shared" ca="1" si="57"/>
        <v>0.12</v>
      </c>
      <c r="O638">
        <f t="shared" ca="1" si="58"/>
        <v>0</v>
      </c>
      <c r="P638">
        <f t="shared" ca="1" si="59"/>
        <v>0</v>
      </c>
    </row>
    <row r="639" spans="1:16" x14ac:dyDescent="0.3">
      <c r="A639" t="s">
        <v>1018</v>
      </c>
      <c r="B639" t="s">
        <v>385</v>
      </c>
      <c r="C639" t="s">
        <v>70</v>
      </c>
      <c r="D639" t="s">
        <v>26</v>
      </c>
      <c r="E639" s="1">
        <v>45550</v>
      </c>
      <c r="F639">
        <v>93490.94</v>
      </c>
      <c r="G639">
        <v>11.87</v>
      </c>
      <c r="H639">
        <v>72</v>
      </c>
      <c r="I639" t="s">
        <v>14</v>
      </c>
      <c r="J639">
        <v>50485</v>
      </c>
      <c r="K639">
        <f t="shared" ca="1" si="54"/>
        <v>0</v>
      </c>
      <c r="L639">
        <f t="shared" ca="1" si="55"/>
        <v>0</v>
      </c>
      <c r="M639" t="str">
        <f t="shared" ca="1" si="56"/>
        <v>Low</v>
      </c>
      <c r="N639">
        <f t="shared" ca="1" si="57"/>
        <v>0.72</v>
      </c>
      <c r="O639">
        <f t="shared" ca="1" si="58"/>
        <v>0</v>
      </c>
      <c r="P639">
        <f t="shared" ca="1" si="59"/>
        <v>79467.298999999999</v>
      </c>
    </row>
    <row r="640" spans="1:16" x14ac:dyDescent="0.3">
      <c r="A640" t="s">
        <v>1019</v>
      </c>
      <c r="B640" t="s">
        <v>1020</v>
      </c>
      <c r="C640" t="s">
        <v>39</v>
      </c>
      <c r="D640" t="s">
        <v>22</v>
      </c>
      <c r="E640" s="1">
        <v>45849</v>
      </c>
      <c r="F640">
        <v>54717.99</v>
      </c>
      <c r="G640">
        <v>6.06</v>
      </c>
      <c r="H640">
        <v>84</v>
      </c>
      <c r="I640" t="s">
        <v>14</v>
      </c>
      <c r="J640">
        <v>24076</v>
      </c>
      <c r="K640">
        <f t="shared" ca="1" si="54"/>
        <v>90</v>
      </c>
      <c r="L640">
        <f t="shared" ca="1" si="55"/>
        <v>1</v>
      </c>
      <c r="M640" t="str">
        <f t="shared" ca="1" si="56"/>
        <v>High</v>
      </c>
      <c r="N640">
        <f t="shared" ca="1" si="57"/>
        <v>21</v>
      </c>
      <c r="O640">
        <f t="shared" ca="1" si="58"/>
        <v>15.96</v>
      </c>
      <c r="P640">
        <f t="shared" ca="1" si="59"/>
        <v>53076.450300000004</v>
      </c>
    </row>
    <row r="641" spans="1:16" x14ac:dyDescent="0.3">
      <c r="A641" t="s">
        <v>1021</v>
      </c>
      <c r="B641" t="s">
        <v>1022</v>
      </c>
      <c r="C641" t="s">
        <v>54</v>
      </c>
      <c r="D641" t="s">
        <v>26</v>
      </c>
      <c r="E641" s="1">
        <v>45398</v>
      </c>
      <c r="F641">
        <v>82295.539999999994</v>
      </c>
      <c r="G641">
        <v>6.67</v>
      </c>
      <c r="H641">
        <v>180</v>
      </c>
      <c r="I641" t="s">
        <v>19</v>
      </c>
      <c r="J641">
        <v>0</v>
      </c>
      <c r="K641">
        <f t="shared" ca="1" si="54"/>
        <v>0</v>
      </c>
      <c r="L641">
        <f t="shared" ca="1" si="55"/>
        <v>0</v>
      </c>
      <c r="M641" t="str">
        <f t="shared" ca="1" si="56"/>
        <v>Low</v>
      </c>
      <c r="N641">
        <f t="shared" ca="1" si="57"/>
        <v>1.8</v>
      </c>
      <c r="O641">
        <f t="shared" ca="1" si="58"/>
        <v>0</v>
      </c>
      <c r="P641">
        <f t="shared" ca="1" si="59"/>
        <v>84764.406199999998</v>
      </c>
    </row>
    <row r="642" spans="1:16" x14ac:dyDescent="0.3">
      <c r="A642" t="s">
        <v>1023</v>
      </c>
      <c r="B642" t="s">
        <v>1024</v>
      </c>
      <c r="C642" t="s">
        <v>123</v>
      </c>
      <c r="D642" t="s">
        <v>26</v>
      </c>
      <c r="E642" s="1">
        <v>46060</v>
      </c>
      <c r="F642">
        <v>48825.01</v>
      </c>
      <c r="G642">
        <v>19.690000000000001</v>
      </c>
      <c r="H642">
        <v>24</v>
      </c>
      <c r="I642" t="s">
        <v>14</v>
      </c>
      <c r="J642">
        <v>19530</v>
      </c>
      <c r="K642">
        <f t="shared" ca="1" si="54"/>
        <v>120</v>
      </c>
      <c r="L642">
        <f t="shared" ca="1" si="55"/>
        <v>1</v>
      </c>
      <c r="M642" t="str">
        <f t="shared" ca="1" si="56"/>
        <v>High</v>
      </c>
      <c r="N642">
        <f t="shared" ca="1" si="57"/>
        <v>6</v>
      </c>
      <c r="O642">
        <f t="shared" ca="1" si="58"/>
        <v>2.16</v>
      </c>
      <c r="P642">
        <f t="shared" ca="1" si="59"/>
        <v>53707.511000000006</v>
      </c>
    </row>
    <row r="643" spans="1:16" x14ac:dyDescent="0.3">
      <c r="A643" t="s">
        <v>1025</v>
      </c>
      <c r="B643" t="s">
        <v>128</v>
      </c>
      <c r="C643" t="s">
        <v>33</v>
      </c>
      <c r="D643" t="s">
        <v>75</v>
      </c>
      <c r="E643" s="1">
        <v>46038</v>
      </c>
      <c r="F643">
        <v>76664.600000000006</v>
      </c>
      <c r="G643">
        <v>18.079999999999998</v>
      </c>
      <c r="H643">
        <v>360</v>
      </c>
      <c r="I643" t="s">
        <v>14</v>
      </c>
      <c r="J643">
        <v>53665</v>
      </c>
      <c r="K643">
        <f t="shared" ref="K643:K706" ca="1" si="60">IF(I643="Paid Off",0,CHOOSE(RANDBETWEEN(1,10),0,0,0,0,15,30,45,60,90,120))</f>
        <v>45</v>
      </c>
      <c r="L643">
        <f t="shared" ref="L643:L706" ca="1" si="61">IF(K643&gt;=90,1,0)</f>
        <v>0</v>
      </c>
      <c r="M643" t="str">
        <f t="shared" ref="M643:M706" ca="1" si="62">IF(K643&gt;=90,"High",IF(K643&gt;=30,"Medium","Low"))</f>
        <v>Medium</v>
      </c>
      <c r="N643">
        <f t="shared" ref="N643:N706" ca="1" si="63">IF(L643=1,H643*0.25,IF(K643&gt;=60,H643*0.1,IF(K643&gt;=30,H643*0.05,H643*0.01)))</f>
        <v>18</v>
      </c>
      <c r="O643">
        <f t="shared" ref="O643:O706" ca="1" si="64">IF(L643=1,H643*RANDBETWEEN(5,30)/100,0)</f>
        <v>0</v>
      </c>
      <c r="P643">
        <f t="shared" ref="P643:P706" ca="1" si="65">IF(OR(D643="P02",D643="P03",D643="P05"),F643*RANDBETWEEN(70,130)/100,0)</f>
        <v>95830.75</v>
      </c>
    </row>
    <row r="644" spans="1:16" x14ac:dyDescent="0.3">
      <c r="A644" t="s">
        <v>1026</v>
      </c>
      <c r="B644" t="s">
        <v>620</v>
      </c>
      <c r="C644" t="s">
        <v>123</v>
      </c>
      <c r="D644" t="s">
        <v>18</v>
      </c>
      <c r="E644" s="1">
        <v>46132</v>
      </c>
      <c r="F644">
        <v>11868.69</v>
      </c>
      <c r="G644">
        <v>20.440000000000001</v>
      </c>
      <c r="H644">
        <v>180</v>
      </c>
      <c r="I644" t="s">
        <v>14</v>
      </c>
      <c r="J644">
        <v>6884</v>
      </c>
      <c r="K644">
        <f t="shared" ca="1" si="60"/>
        <v>0</v>
      </c>
      <c r="L644">
        <f t="shared" ca="1" si="61"/>
        <v>0</v>
      </c>
      <c r="M644" t="str">
        <f t="shared" ca="1" si="62"/>
        <v>Low</v>
      </c>
      <c r="N644">
        <f t="shared" ca="1" si="63"/>
        <v>1.8</v>
      </c>
      <c r="O644">
        <f t="shared" ca="1" si="64"/>
        <v>0</v>
      </c>
      <c r="P644">
        <f t="shared" ca="1" si="65"/>
        <v>0</v>
      </c>
    </row>
    <row r="645" spans="1:16" x14ac:dyDescent="0.3">
      <c r="A645" t="s">
        <v>1027</v>
      </c>
      <c r="B645" t="s">
        <v>16</v>
      </c>
      <c r="C645" t="s">
        <v>51</v>
      </c>
      <c r="D645" t="s">
        <v>22</v>
      </c>
      <c r="E645" s="1">
        <v>45517</v>
      </c>
      <c r="F645">
        <v>50982.35</v>
      </c>
      <c r="G645">
        <v>7.47</v>
      </c>
      <c r="H645">
        <v>72</v>
      </c>
      <c r="I645" t="s">
        <v>14</v>
      </c>
      <c r="J645">
        <v>35688</v>
      </c>
      <c r="K645">
        <f t="shared" ca="1" si="60"/>
        <v>0</v>
      </c>
      <c r="L645">
        <f t="shared" ca="1" si="61"/>
        <v>0</v>
      </c>
      <c r="M645" t="str">
        <f t="shared" ca="1" si="62"/>
        <v>Low</v>
      </c>
      <c r="N645">
        <f t="shared" ca="1" si="63"/>
        <v>0.72</v>
      </c>
      <c r="O645">
        <f t="shared" ca="1" si="64"/>
        <v>0</v>
      </c>
      <c r="P645">
        <f t="shared" ca="1" si="65"/>
        <v>57100.232000000004</v>
      </c>
    </row>
    <row r="646" spans="1:16" x14ac:dyDescent="0.3">
      <c r="A646" t="s">
        <v>1028</v>
      </c>
      <c r="B646" t="s">
        <v>373</v>
      </c>
      <c r="C646" t="s">
        <v>54</v>
      </c>
      <c r="D646" t="s">
        <v>13</v>
      </c>
      <c r="E646" s="1">
        <v>46138</v>
      </c>
      <c r="F646">
        <v>19909.52</v>
      </c>
      <c r="G646">
        <v>14.62</v>
      </c>
      <c r="H646">
        <v>72</v>
      </c>
      <c r="I646" t="s">
        <v>14</v>
      </c>
      <c r="J646">
        <v>7167</v>
      </c>
      <c r="K646">
        <f t="shared" ca="1" si="60"/>
        <v>60</v>
      </c>
      <c r="L646">
        <f t="shared" ca="1" si="61"/>
        <v>0</v>
      </c>
      <c r="M646" t="str">
        <f t="shared" ca="1" si="62"/>
        <v>Medium</v>
      </c>
      <c r="N646">
        <f t="shared" ca="1" si="63"/>
        <v>7.2</v>
      </c>
      <c r="O646">
        <f t="shared" ca="1" si="64"/>
        <v>0</v>
      </c>
      <c r="P646">
        <f t="shared" ca="1" si="65"/>
        <v>0</v>
      </c>
    </row>
    <row r="647" spans="1:16" x14ac:dyDescent="0.3">
      <c r="A647" t="s">
        <v>1029</v>
      </c>
      <c r="B647" t="s">
        <v>794</v>
      </c>
      <c r="C647" t="s">
        <v>51</v>
      </c>
      <c r="D647" t="s">
        <v>18</v>
      </c>
      <c r="E647" s="1">
        <v>45957</v>
      </c>
      <c r="F647">
        <v>57287.75</v>
      </c>
      <c r="G647">
        <v>13.15</v>
      </c>
      <c r="H647">
        <v>48</v>
      </c>
      <c r="I647" t="s">
        <v>14</v>
      </c>
      <c r="J647">
        <v>29217</v>
      </c>
      <c r="K647">
        <f t="shared" ca="1" si="60"/>
        <v>0</v>
      </c>
      <c r="L647">
        <f t="shared" ca="1" si="61"/>
        <v>0</v>
      </c>
      <c r="M647" t="str">
        <f t="shared" ca="1" si="62"/>
        <v>Low</v>
      </c>
      <c r="N647">
        <f t="shared" ca="1" si="63"/>
        <v>0.48</v>
      </c>
      <c r="O647">
        <f t="shared" ca="1" si="64"/>
        <v>0</v>
      </c>
      <c r="P647">
        <f t="shared" ca="1" si="65"/>
        <v>0</v>
      </c>
    </row>
    <row r="648" spans="1:16" x14ac:dyDescent="0.3">
      <c r="A648" t="s">
        <v>1030</v>
      </c>
      <c r="B648" t="s">
        <v>46</v>
      </c>
      <c r="C648" t="s">
        <v>36</v>
      </c>
      <c r="D648" t="s">
        <v>75</v>
      </c>
      <c r="E648" s="1">
        <v>45488</v>
      </c>
      <c r="F648">
        <v>60396.160000000003</v>
      </c>
      <c r="G648">
        <v>11.7</v>
      </c>
      <c r="H648">
        <v>84</v>
      </c>
      <c r="I648" t="s">
        <v>14</v>
      </c>
      <c r="J648">
        <v>45297</v>
      </c>
      <c r="K648">
        <f t="shared" ca="1" si="60"/>
        <v>15</v>
      </c>
      <c r="L648">
        <f t="shared" ca="1" si="61"/>
        <v>0</v>
      </c>
      <c r="M648" t="str">
        <f t="shared" ca="1" si="62"/>
        <v>Low</v>
      </c>
      <c r="N648">
        <f t="shared" ca="1" si="63"/>
        <v>0.84</v>
      </c>
      <c r="O648">
        <f t="shared" ca="1" si="64"/>
        <v>0</v>
      </c>
      <c r="P648">
        <f t="shared" ca="1" si="65"/>
        <v>72475.392000000007</v>
      </c>
    </row>
    <row r="649" spans="1:16" x14ac:dyDescent="0.3">
      <c r="A649" t="s">
        <v>1031</v>
      </c>
      <c r="B649" t="s">
        <v>379</v>
      </c>
      <c r="C649" t="s">
        <v>25</v>
      </c>
      <c r="D649" t="s">
        <v>18</v>
      </c>
      <c r="E649" s="1">
        <v>45849</v>
      </c>
      <c r="F649">
        <v>75449.89</v>
      </c>
      <c r="G649">
        <v>5.66</v>
      </c>
      <c r="H649">
        <v>72</v>
      </c>
      <c r="I649" t="s">
        <v>27</v>
      </c>
      <c r="J649">
        <v>0</v>
      </c>
      <c r="K649">
        <f t="shared" ca="1" si="60"/>
        <v>45</v>
      </c>
      <c r="L649">
        <f t="shared" ca="1" si="61"/>
        <v>0</v>
      </c>
      <c r="M649" t="str">
        <f t="shared" ca="1" si="62"/>
        <v>Medium</v>
      </c>
      <c r="N649">
        <f t="shared" ca="1" si="63"/>
        <v>3.6</v>
      </c>
      <c r="O649">
        <f t="shared" ca="1" si="64"/>
        <v>0</v>
      </c>
      <c r="P649">
        <f t="shared" ca="1" si="65"/>
        <v>0</v>
      </c>
    </row>
    <row r="650" spans="1:16" x14ac:dyDescent="0.3">
      <c r="A650" t="s">
        <v>1032</v>
      </c>
      <c r="B650" t="s">
        <v>65</v>
      </c>
      <c r="C650" t="s">
        <v>33</v>
      </c>
      <c r="D650" t="s">
        <v>30</v>
      </c>
      <c r="E650" s="1">
        <v>45638</v>
      </c>
      <c r="F650">
        <v>24330.38</v>
      </c>
      <c r="G650">
        <v>6.41</v>
      </c>
      <c r="H650">
        <v>36</v>
      </c>
      <c r="I650" t="s">
        <v>14</v>
      </c>
      <c r="J650">
        <v>16301</v>
      </c>
      <c r="K650">
        <f t="shared" ca="1" si="60"/>
        <v>15</v>
      </c>
      <c r="L650">
        <f t="shared" ca="1" si="61"/>
        <v>0</v>
      </c>
      <c r="M650" t="str">
        <f t="shared" ca="1" si="62"/>
        <v>Low</v>
      </c>
      <c r="N650">
        <f t="shared" ca="1" si="63"/>
        <v>0.36</v>
      </c>
      <c r="O650">
        <f t="shared" ca="1" si="64"/>
        <v>0</v>
      </c>
      <c r="P650">
        <f t="shared" ca="1" si="65"/>
        <v>0</v>
      </c>
    </row>
    <row r="651" spans="1:16" x14ac:dyDescent="0.3">
      <c r="A651" t="s">
        <v>1033</v>
      </c>
      <c r="B651" t="s">
        <v>489</v>
      </c>
      <c r="C651" t="s">
        <v>25</v>
      </c>
      <c r="D651" t="s">
        <v>75</v>
      </c>
      <c r="E651" s="1">
        <v>45433</v>
      </c>
      <c r="F651">
        <v>32124.66</v>
      </c>
      <c r="G651">
        <v>17.600000000000001</v>
      </c>
      <c r="H651">
        <v>36</v>
      </c>
      <c r="I651" t="s">
        <v>14</v>
      </c>
      <c r="J651">
        <v>12207</v>
      </c>
      <c r="K651">
        <f t="shared" ca="1" si="60"/>
        <v>0</v>
      </c>
      <c r="L651">
        <f t="shared" ca="1" si="61"/>
        <v>0</v>
      </c>
      <c r="M651" t="str">
        <f t="shared" ca="1" si="62"/>
        <v>Low</v>
      </c>
      <c r="N651">
        <f t="shared" ca="1" si="63"/>
        <v>0.36</v>
      </c>
      <c r="O651">
        <f t="shared" ca="1" si="64"/>
        <v>0</v>
      </c>
      <c r="P651">
        <f t="shared" ca="1" si="65"/>
        <v>27627.207599999998</v>
      </c>
    </row>
    <row r="652" spans="1:16" x14ac:dyDescent="0.3">
      <c r="A652" t="s">
        <v>1034</v>
      </c>
      <c r="B652" t="s">
        <v>941</v>
      </c>
      <c r="C652" t="s">
        <v>123</v>
      </c>
      <c r="D652" t="s">
        <v>18</v>
      </c>
      <c r="E652" s="1">
        <v>45327</v>
      </c>
      <c r="F652">
        <v>60596.74</v>
      </c>
      <c r="G652">
        <v>8.7899999999999991</v>
      </c>
      <c r="H652">
        <v>180</v>
      </c>
      <c r="I652" t="s">
        <v>19</v>
      </c>
      <c r="J652">
        <v>0</v>
      </c>
      <c r="K652">
        <f t="shared" ca="1" si="60"/>
        <v>0</v>
      </c>
      <c r="L652">
        <f t="shared" ca="1" si="61"/>
        <v>0</v>
      </c>
      <c r="M652" t="str">
        <f t="shared" ca="1" si="62"/>
        <v>Low</v>
      </c>
      <c r="N652">
        <f t="shared" ca="1" si="63"/>
        <v>1.8</v>
      </c>
      <c r="O652">
        <f t="shared" ca="1" si="64"/>
        <v>0</v>
      </c>
      <c r="P652">
        <f t="shared" ca="1" si="65"/>
        <v>0</v>
      </c>
    </row>
    <row r="653" spans="1:16" x14ac:dyDescent="0.3">
      <c r="A653" t="s">
        <v>1035</v>
      </c>
      <c r="B653" t="s">
        <v>757</v>
      </c>
      <c r="C653" t="s">
        <v>54</v>
      </c>
      <c r="D653" t="s">
        <v>30</v>
      </c>
      <c r="E653" s="1">
        <v>45303</v>
      </c>
      <c r="F653">
        <v>32299.45</v>
      </c>
      <c r="G653">
        <v>19.71</v>
      </c>
      <c r="H653">
        <v>36</v>
      </c>
      <c r="I653" t="s">
        <v>27</v>
      </c>
      <c r="J653">
        <v>0</v>
      </c>
      <c r="K653">
        <f t="shared" ca="1" si="60"/>
        <v>15</v>
      </c>
      <c r="L653">
        <f t="shared" ca="1" si="61"/>
        <v>0</v>
      </c>
      <c r="M653" t="str">
        <f t="shared" ca="1" si="62"/>
        <v>Low</v>
      </c>
      <c r="N653">
        <f t="shared" ca="1" si="63"/>
        <v>0.36</v>
      </c>
      <c r="O653">
        <f t="shared" ca="1" si="64"/>
        <v>0</v>
      </c>
      <c r="P653">
        <f t="shared" ca="1" si="65"/>
        <v>0</v>
      </c>
    </row>
    <row r="654" spans="1:16" x14ac:dyDescent="0.3">
      <c r="A654" t="s">
        <v>1036</v>
      </c>
      <c r="B654" t="s">
        <v>381</v>
      </c>
      <c r="C654" t="s">
        <v>51</v>
      </c>
      <c r="D654" t="s">
        <v>22</v>
      </c>
      <c r="E654" s="1">
        <v>45364</v>
      </c>
      <c r="F654">
        <v>54434.61</v>
      </c>
      <c r="G654">
        <v>4.41</v>
      </c>
      <c r="H654">
        <v>84</v>
      </c>
      <c r="I654" t="s">
        <v>14</v>
      </c>
      <c r="J654">
        <v>37016</v>
      </c>
      <c r="K654">
        <f t="shared" ca="1" si="60"/>
        <v>0</v>
      </c>
      <c r="L654">
        <f t="shared" ca="1" si="61"/>
        <v>0</v>
      </c>
      <c r="M654" t="str">
        <f t="shared" ca="1" si="62"/>
        <v>Low</v>
      </c>
      <c r="N654">
        <f t="shared" ca="1" si="63"/>
        <v>0.84</v>
      </c>
      <c r="O654">
        <f t="shared" ca="1" si="64"/>
        <v>0</v>
      </c>
      <c r="P654">
        <f t="shared" ca="1" si="65"/>
        <v>54978.956100000003</v>
      </c>
    </row>
    <row r="655" spans="1:16" x14ac:dyDescent="0.3">
      <c r="A655" t="s">
        <v>1037</v>
      </c>
      <c r="B655" t="s">
        <v>114</v>
      </c>
      <c r="C655" t="s">
        <v>25</v>
      </c>
      <c r="D655" t="s">
        <v>13</v>
      </c>
      <c r="E655" s="1">
        <v>45751</v>
      </c>
      <c r="F655">
        <v>84486.81</v>
      </c>
      <c r="G655">
        <v>13.16</v>
      </c>
      <c r="H655">
        <v>48</v>
      </c>
      <c r="I655" t="s">
        <v>14</v>
      </c>
      <c r="J655">
        <v>64210</v>
      </c>
      <c r="K655">
        <f t="shared" ca="1" si="60"/>
        <v>60</v>
      </c>
      <c r="L655">
        <f t="shared" ca="1" si="61"/>
        <v>0</v>
      </c>
      <c r="M655" t="str">
        <f t="shared" ca="1" si="62"/>
        <v>Medium</v>
      </c>
      <c r="N655">
        <f t="shared" ca="1" si="63"/>
        <v>4.8000000000000007</v>
      </c>
      <c r="O655">
        <f t="shared" ca="1" si="64"/>
        <v>0</v>
      </c>
      <c r="P655">
        <f t="shared" ca="1" si="65"/>
        <v>0</v>
      </c>
    </row>
    <row r="656" spans="1:16" x14ac:dyDescent="0.3">
      <c r="A656" t="s">
        <v>1038</v>
      </c>
      <c r="B656" t="s">
        <v>566</v>
      </c>
      <c r="C656" t="s">
        <v>39</v>
      </c>
      <c r="D656" t="s">
        <v>30</v>
      </c>
      <c r="E656" s="1">
        <v>46019</v>
      </c>
      <c r="F656">
        <v>41364.410000000003</v>
      </c>
      <c r="G656">
        <v>21.49</v>
      </c>
      <c r="H656">
        <v>60</v>
      </c>
      <c r="I656" t="s">
        <v>14</v>
      </c>
      <c r="J656">
        <v>31023</v>
      </c>
      <c r="K656">
        <f t="shared" ca="1" si="60"/>
        <v>0</v>
      </c>
      <c r="L656">
        <f t="shared" ca="1" si="61"/>
        <v>0</v>
      </c>
      <c r="M656" t="str">
        <f t="shared" ca="1" si="62"/>
        <v>Low</v>
      </c>
      <c r="N656">
        <f t="shared" ca="1" si="63"/>
        <v>0.6</v>
      </c>
      <c r="O656">
        <f t="shared" ca="1" si="64"/>
        <v>0</v>
      </c>
      <c r="P656">
        <f t="shared" ca="1" si="65"/>
        <v>0</v>
      </c>
    </row>
    <row r="657" spans="1:16" x14ac:dyDescent="0.3">
      <c r="A657" t="s">
        <v>1039</v>
      </c>
      <c r="B657" t="s">
        <v>1040</v>
      </c>
      <c r="C657" t="s">
        <v>39</v>
      </c>
      <c r="D657" t="s">
        <v>18</v>
      </c>
      <c r="E657" s="1">
        <v>46110</v>
      </c>
      <c r="F657">
        <v>69427.7</v>
      </c>
      <c r="G657">
        <v>14.09</v>
      </c>
      <c r="H657">
        <v>84</v>
      </c>
      <c r="I657" t="s">
        <v>14</v>
      </c>
      <c r="J657">
        <v>36102</v>
      </c>
      <c r="K657">
        <f t="shared" ca="1" si="60"/>
        <v>0</v>
      </c>
      <c r="L657">
        <f t="shared" ca="1" si="61"/>
        <v>0</v>
      </c>
      <c r="M657" t="str">
        <f t="shared" ca="1" si="62"/>
        <v>Low</v>
      </c>
      <c r="N657">
        <f t="shared" ca="1" si="63"/>
        <v>0.84</v>
      </c>
      <c r="O657">
        <f t="shared" ca="1" si="64"/>
        <v>0</v>
      </c>
      <c r="P657">
        <f t="shared" ca="1" si="65"/>
        <v>0</v>
      </c>
    </row>
    <row r="658" spans="1:16" x14ac:dyDescent="0.3">
      <c r="A658" t="s">
        <v>1041</v>
      </c>
      <c r="B658" t="s">
        <v>1042</v>
      </c>
      <c r="C658" t="s">
        <v>17</v>
      </c>
      <c r="D658" t="s">
        <v>75</v>
      </c>
      <c r="E658" s="1">
        <v>45557</v>
      </c>
      <c r="F658">
        <v>76832.800000000003</v>
      </c>
      <c r="G658">
        <v>16.899999999999999</v>
      </c>
      <c r="H658">
        <v>72</v>
      </c>
      <c r="I658" t="s">
        <v>27</v>
      </c>
      <c r="J658">
        <v>0</v>
      </c>
      <c r="K658">
        <f t="shared" ca="1" si="60"/>
        <v>0</v>
      </c>
      <c r="L658">
        <f t="shared" ca="1" si="61"/>
        <v>0</v>
      </c>
      <c r="M658" t="str">
        <f t="shared" ca="1" si="62"/>
        <v>Low</v>
      </c>
      <c r="N658">
        <f t="shared" ca="1" si="63"/>
        <v>0.72</v>
      </c>
      <c r="O658">
        <f t="shared" ca="1" si="64"/>
        <v>0</v>
      </c>
      <c r="P658">
        <f t="shared" ca="1" si="65"/>
        <v>69917.847999999998</v>
      </c>
    </row>
    <row r="659" spans="1:16" x14ac:dyDescent="0.3">
      <c r="A659" t="s">
        <v>1043</v>
      </c>
      <c r="B659" t="s">
        <v>877</v>
      </c>
      <c r="C659" t="s">
        <v>54</v>
      </c>
      <c r="D659" t="s">
        <v>30</v>
      </c>
      <c r="E659" s="1">
        <v>45838</v>
      </c>
      <c r="F659">
        <v>41997.14</v>
      </c>
      <c r="G659">
        <v>15.69</v>
      </c>
      <c r="H659">
        <v>48</v>
      </c>
      <c r="I659" t="s">
        <v>19</v>
      </c>
      <c r="J659">
        <v>0</v>
      </c>
      <c r="K659">
        <f t="shared" ca="1" si="60"/>
        <v>0</v>
      </c>
      <c r="L659">
        <f t="shared" ca="1" si="61"/>
        <v>0</v>
      </c>
      <c r="M659" t="str">
        <f t="shared" ca="1" si="62"/>
        <v>Low</v>
      </c>
      <c r="N659">
        <f t="shared" ca="1" si="63"/>
        <v>0.48</v>
      </c>
      <c r="O659">
        <f t="shared" ca="1" si="64"/>
        <v>0</v>
      </c>
      <c r="P659">
        <f t="shared" ca="1" si="65"/>
        <v>0</v>
      </c>
    </row>
    <row r="660" spans="1:16" x14ac:dyDescent="0.3">
      <c r="A660" t="s">
        <v>1044</v>
      </c>
      <c r="B660" t="s">
        <v>1045</v>
      </c>
      <c r="C660" t="s">
        <v>39</v>
      </c>
      <c r="D660" t="s">
        <v>13</v>
      </c>
      <c r="E660" s="1">
        <v>45890</v>
      </c>
      <c r="F660">
        <v>5213.6499999999996</v>
      </c>
      <c r="G660">
        <v>7.92</v>
      </c>
      <c r="H660">
        <v>360</v>
      </c>
      <c r="I660" t="s">
        <v>14</v>
      </c>
      <c r="J660">
        <v>2920</v>
      </c>
      <c r="K660">
        <f t="shared" ca="1" si="60"/>
        <v>30</v>
      </c>
      <c r="L660">
        <f t="shared" ca="1" si="61"/>
        <v>0</v>
      </c>
      <c r="M660" t="str">
        <f t="shared" ca="1" si="62"/>
        <v>Medium</v>
      </c>
      <c r="N660">
        <f t="shared" ca="1" si="63"/>
        <v>18</v>
      </c>
      <c r="O660">
        <f t="shared" ca="1" si="64"/>
        <v>0</v>
      </c>
      <c r="P660">
        <f t="shared" ca="1" si="65"/>
        <v>0</v>
      </c>
    </row>
    <row r="661" spans="1:16" x14ac:dyDescent="0.3">
      <c r="A661" t="s">
        <v>1046</v>
      </c>
      <c r="B661" t="s">
        <v>591</v>
      </c>
      <c r="C661" t="s">
        <v>39</v>
      </c>
      <c r="D661" t="s">
        <v>26</v>
      </c>
      <c r="E661" s="1">
        <v>46071</v>
      </c>
      <c r="F661">
        <v>36191.129999999997</v>
      </c>
      <c r="G661">
        <v>17.8</v>
      </c>
      <c r="H661">
        <v>72</v>
      </c>
      <c r="I661" t="s">
        <v>14</v>
      </c>
      <c r="J661">
        <v>13029</v>
      </c>
      <c r="K661">
        <f t="shared" ca="1" si="60"/>
        <v>0</v>
      </c>
      <c r="L661">
        <f t="shared" ca="1" si="61"/>
        <v>0</v>
      </c>
      <c r="M661" t="str">
        <f t="shared" ca="1" si="62"/>
        <v>Low</v>
      </c>
      <c r="N661">
        <f t="shared" ca="1" si="63"/>
        <v>0.72</v>
      </c>
      <c r="O661">
        <f t="shared" ca="1" si="64"/>
        <v>0</v>
      </c>
      <c r="P661">
        <f t="shared" ca="1" si="65"/>
        <v>39086.420399999995</v>
      </c>
    </row>
    <row r="662" spans="1:16" x14ac:dyDescent="0.3">
      <c r="A662" t="s">
        <v>1047</v>
      </c>
      <c r="B662" t="s">
        <v>41</v>
      </c>
      <c r="C662" t="s">
        <v>51</v>
      </c>
      <c r="D662" t="s">
        <v>18</v>
      </c>
      <c r="E662" s="1">
        <v>45775</v>
      </c>
      <c r="F662">
        <v>99347.35</v>
      </c>
      <c r="G662">
        <v>13.19</v>
      </c>
      <c r="H662">
        <v>24</v>
      </c>
      <c r="I662" t="s">
        <v>14</v>
      </c>
      <c r="J662">
        <v>65569</v>
      </c>
      <c r="K662">
        <f t="shared" ca="1" si="60"/>
        <v>120</v>
      </c>
      <c r="L662">
        <f t="shared" ca="1" si="61"/>
        <v>1</v>
      </c>
      <c r="M662" t="str">
        <f t="shared" ca="1" si="62"/>
        <v>High</v>
      </c>
      <c r="N662">
        <f t="shared" ca="1" si="63"/>
        <v>6</v>
      </c>
      <c r="O662">
        <f t="shared" ca="1" si="64"/>
        <v>3.36</v>
      </c>
      <c r="P662">
        <f t="shared" ca="1" si="65"/>
        <v>0</v>
      </c>
    </row>
    <row r="663" spans="1:16" x14ac:dyDescent="0.3">
      <c r="A663" t="s">
        <v>1048</v>
      </c>
      <c r="B663" t="s">
        <v>162</v>
      </c>
      <c r="C663" t="s">
        <v>33</v>
      </c>
      <c r="D663" t="s">
        <v>18</v>
      </c>
      <c r="E663" s="1">
        <v>46109</v>
      </c>
      <c r="F663">
        <v>94210.37</v>
      </c>
      <c r="G663">
        <v>17.440000000000001</v>
      </c>
      <c r="H663">
        <v>36</v>
      </c>
      <c r="I663" t="s">
        <v>14</v>
      </c>
      <c r="J663">
        <v>75368</v>
      </c>
      <c r="K663">
        <f t="shared" ca="1" si="60"/>
        <v>90</v>
      </c>
      <c r="L663">
        <f t="shared" ca="1" si="61"/>
        <v>1</v>
      </c>
      <c r="M663" t="str">
        <f t="shared" ca="1" si="62"/>
        <v>High</v>
      </c>
      <c r="N663">
        <f t="shared" ca="1" si="63"/>
        <v>9</v>
      </c>
      <c r="O663">
        <f t="shared" ca="1" si="64"/>
        <v>7.56</v>
      </c>
      <c r="P663">
        <f t="shared" ca="1" si="65"/>
        <v>0</v>
      </c>
    </row>
    <row r="664" spans="1:16" x14ac:dyDescent="0.3">
      <c r="A664" t="s">
        <v>1049</v>
      </c>
      <c r="B664" t="s">
        <v>857</v>
      </c>
      <c r="C664" t="s">
        <v>17</v>
      </c>
      <c r="D664" t="s">
        <v>75</v>
      </c>
      <c r="E664" s="1">
        <v>46114</v>
      </c>
      <c r="F664">
        <v>19774.28</v>
      </c>
      <c r="G664">
        <v>13.5</v>
      </c>
      <c r="H664">
        <v>24</v>
      </c>
      <c r="I664" t="s">
        <v>14</v>
      </c>
      <c r="J664">
        <v>17006</v>
      </c>
      <c r="K664">
        <f t="shared" ca="1" si="60"/>
        <v>0</v>
      </c>
      <c r="L664">
        <f t="shared" ca="1" si="61"/>
        <v>0</v>
      </c>
      <c r="M664" t="str">
        <f t="shared" ca="1" si="62"/>
        <v>Low</v>
      </c>
      <c r="N664">
        <f t="shared" ca="1" si="63"/>
        <v>0.24</v>
      </c>
      <c r="O664">
        <f t="shared" ca="1" si="64"/>
        <v>0</v>
      </c>
      <c r="P664">
        <f t="shared" ca="1" si="65"/>
        <v>17599.109199999999</v>
      </c>
    </row>
    <row r="665" spans="1:16" x14ac:dyDescent="0.3">
      <c r="A665" t="s">
        <v>1050</v>
      </c>
      <c r="B665" t="s">
        <v>190</v>
      </c>
      <c r="C665" t="s">
        <v>39</v>
      </c>
      <c r="D665" t="s">
        <v>18</v>
      </c>
      <c r="E665" s="1">
        <v>45629</v>
      </c>
      <c r="F665">
        <v>62481.64</v>
      </c>
      <c r="G665">
        <v>8.1300000000000008</v>
      </c>
      <c r="H665">
        <v>240</v>
      </c>
      <c r="I665" t="s">
        <v>14</v>
      </c>
      <c r="J665">
        <v>56858</v>
      </c>
      <c r="K665">
        <f t="shared" ca="1" si="60"/>
        <v>15</v>
      </c>
      <c r="L665">
        <f t="shared" ca="1" si="61"/>
        <v>0</v>
      </c>
      <c r="M665" t="str">
        <f t="shared" ca="1" si="62"/>
        <v>Low</v>
      </c>
      <c r="N665">
        <f t="shared" ca="1" si="63"/>
        <v>2.4</v>
      </c>
      <c r="O665">
        <f t="shared" ca="1" si="64"/>
        <v>0</v>
      </c>
      <c r="P665">
        <f t="shared" ca="1" si="65"/>
        <v>0</v>
      </c>
    </row>
    <row r="666" spans="1:16" x14ac:dyDescent="0.3">
      <c r="A666" t="s">
        <v>1051</v>
      </c>
      <c r="B666" t="s">
        <v>281</v>
      </c>
      <c r="C666" t="s">
        <v>17</v>
      </c>
      <c r="D666" t="s">
        <v>30</v>
      </c>
      <c r="E666" s="1">
        <v>46151</v>
      </c>
      <c r="F666">
        <v>80314.47</v>
      </c>
      <c r="G666">
        <v>20.45</v>
      </c>
      <c r="H666">
        <v>120</v>
      </c>
      <c r="I666" t="s">
        <v>19</v>
      </c>
      <c r="J666">
        <v>0</v>
      </c>
      <c r="K666">
        <f t="shared" ca="1" si="60"/>
        <v>0</v>
      </c>
      <c r="L666">
        <f t="shared" ca="1" si="61"/>
        <v>0</v>
      </c>
      <c r="M666" t="str">
        <f t="shared" ca="1" si="62"/>
        <v>Low</v>
      </c>
      <c r="N666">
        <f t="shared" ca="1" si="63"/>
        <v>1.2</v>
      </c>
      <c r="O666">
        <f t="shared" ca="1" si="64"/>
        <v>0</v>
      </c>
      <c r="P666">
        <f t="shared" ca="1" si="65"/>
        <v>0</v>
      </c>
    </row>
    <row r="667" spans="1:16" x14ac:dyDescent="0.3">
      <c r="A667" t="s">
        <v>1052</v>
      </c>
      <c r="B667" t="s">
        <v>288</v>
      </c>
      <c r="C667" t="s">
        <v>39</v>
      </c>
      <c r="D667" t="s">
        <v>18</v>
      </c>
      <c r="E667" s="1">
        <v>45584</v>
      </c>
      <c r="F667">
        <v>66311.38</v>
      </c>
      <c r="G667">
        <v>6.45</v>
      </c>
      <c r="H667">
        <v>360</v>
      </c>
      <c r="I667" t="s">
        <v>14</v>
      </c>
      <c r="J667">
        <v>27188</v>
      </c>
      <c r="K667">
        <f t="shared" ca="1" si="60"/>
        <v>0</v>
      </c>
      <c r="L667">
        <f t="shared" ca="1" si="61"/>
        <v>0</v>
      </c>
      <c r="M667" t="str">
        <f t="shared" ca="1" si="62"/>
        <v>Low</v>
      </c>
      <c r="N667">
        <f t="shared" ca="1" si="63"/>
        <v>3.6</v>
      </c>
      <c r="O667">
        <f t="shared" ca="1" si="64"/>
        <v>0</v>
      </c>
      <c r="P667">
        <f t="shared" ca="1" si="65"/>
        <v>0</v>
      </c>
    </row>
    <row r="668" spans="1:16" x14ac:dyDescent="0.3">
      <c r="A668" t="s">
        <v>1053</v>
      </c>
      <c r="B668" t="s">
        <v>281</v>
      </c>
      <c r="C668" t="s">
        <v>51</v>
      </c>
      <c r="D668" t="s">
        <v>22</v>
      </c>
      <c r="E668" s="1">
        <v>45435</v>
      </c>
      <c r="F668">
        <v>56727.519999999997</v>
      </c>
      <c r="G668">
        <v>15.73</v>
      </c>
      <c r="H668">
        <v>36</v>
      </c>
      <c r="I668" t="s">
        <v>14</v>
      </c>
      <c r="J668">
        <v>40844</v>
      </c>
      <c r="K668">
        <f t="shared" ca="1" si="60"/>
        <v>30</v>
      </c>
      <c r="L668">
        <f t="shared" ca="1" si="61"/>
        <v>0</v>
      </c>
      <c r="M668" t="str">
        <f t="shared" ca="1" si="62"/>
        <v>Medium</v>
      </c>
      <c r="N668">
        <f t="shared" ca="1" si="63"/>
        <v>1.8</v>
      </c>
      <c r="O668">
        <f t="shared" ca="1" si="64"/>
        <v>0</v>
      </c>
      <c r="P668">
        <f t="shared" ca="1" si="65"/>
        <v>53891.143999999993</v>
      </c>
    </row>
    <row r="669" spans="1:16" x14ac:dyDescent="0.3">
      <c r="A669" t="s">
        <v>1054</v>
      </c>
      <c r="B669" t="s">
        <v>480</v>
      </c>
      <c r="C669" t="s">
        <v>17</v>
      </c>
      <c r="D669" t="s">
        <v>75</v>
      </c>
      <c r="E669" s="1">
        <v>45541</v>
      </c>
      <c r="F669">
        <v>63238.239999999998</v>
      </c>
      <c r="G669">
        <v>8.4499999999999993</v>
      </c>
      <c r="H669">
        <v>240</v>
      </c>
      <c r="I669" t="s">
        <v>19</v>
      </c>
      <c r="J669">
        <v>0</v>
      </c>
      <c r="K669">
        <f t="shared" ca="1" si="60"/>
        <v>0</v>
      </c>
      <c r="L669">
        <f t="shared" ca="1" si="61"/>
        <v>0</v>
      </c>
      <c r="M669" t="str">
        <f t="shared" ca="1" si="62"/>
        <v>Low</v>
      </c>
      <c r="N669">
        <f t="shared" ca="1" si="63"/>
        <v>2.4</v>
      </c>
      <c r="O669">
        <f t="shared" ca="1" si="64"/>
        <v>0</v>
      </c>
      <c r="P669">
        <f t="shared" ca="1" si="65"/>
        <v>58811.563199999997</v>
      </c>
    </row>
    <row r="670" spans="1:16" x14ac:dyDescent="0.3">
      <c r="A670" t="s">
        <v>1055</v>
      </c>
      <c r="B670" t="s">
        <v>604</v>
      </c>
      <c r="C670" t="s">
        <v>36</v>
      </c>
      <c r="D670" t="s">
        <v>26</v>
      </c>
      <c r="E670" s="1">
        <v>45362</v>
      </c>
      <c r="F670">
        <v>48334.45</v>
      </c>
      <c r="G670">
        <v>7.61</v>
      </c>
      <c r="H670">
        <v>36</v>
      </c>
      <c r="I670" t="s">
        <v>14</v>
      </c>
      <c r="J670">
        <v>27551</v>
      </c>
      <c r="K670">
        <f t="shared" ca="1" si="60"/>
        <v>45</v>
      </c>
      <c r="L670">
        <f t="shared" ca="1" si="61"/>
        <v>0</v>
      </c>
      <c r="M670" t="str">
        <f t="shared" ca="1" si="62"/>
        <v>Medium</v>
      </c>
      <c r="N670">
        <f t="shared" ca="1" si="63"/>
        <v>1.8</v>
      </c>
      <c r="O670">
        <f t="shared" ca="1" si="64"/>
        <v>0</v>
      </c>
      <c r="P670">
        <f t="shared" ca="1" si="65"/>
        <v>50267.828000000001</v>
      </c>
    </row>
    <row r="671" spans="1:16" x14ac:dyDescent="0.3">
      <c r="A671" t="s">
        <v>1056</v>
      </c>
      <c r="B671" t="s">
        <v>21</v>
      </c>
      <c r="C671" t="s">
        <v>33</v>
      </c>
      <c r="D671" t="s">
        <v>22</v>
      </c>
      <c r="E671" s="1">
        <v>46162</v>
      </c>
      <c r="F671">
        <v>27226.07</v>
      </c>
      <c r="G671">
        <v>4.33</v>
      </c>
      <c r="H671">
        <v>240</v>
      </c>
      <c r="I671" t="s">
        <v>14</v>
      </c>
      <c r="J671">
        <v>25865</v>
      </c>
      <c r="K671">
        <f t="shared" ca="1" si="60"/>
        <v>120</v>
      </c>
      <c r="L671">
        <f t="shared" ca="1" si="61"/>
        <v>1</v>
      </c>
      <c r="M671" t="str">
        <f t="shared" ca="1" si="62"/>
        <v>High</v>
      </c>
      <c r="N671">
        <f t="shared" ca="1" si="63"/>
        <v>60</v>
      </c>
      <c r="O671">
        <f t="shared" ca="1" si="64"/>
        <v>72</v>
      </c>
      <c r="P671">
        <f t="shared" ca="1" si="65"/>
        <v>21236.334599999998</v>
      </c>
    </row>
    <row r="672" spans="1:16" x14ac:dyDescent="0.3">
      <c r="A672" t="s">
        <v>1057</v>
      </c>
      <c r="B672" t="s">
        <v>968</v>
      </c>
      <c r="C672" t="s">
        <v>123</v>
      </c>
      <c r="D672" t="s">
        <v>22</v>
      </c>
      <c r="E672" s="1">
        <v>46066</v>
      </c>
      <c r="F672">
        <v>50446.84</v>
      </c>
      <c r="G672">
        <v>15.99</v>
      </c>
      <c r="H672">
        <v>12</v>
      </c>
      <c r="I672" t="s">
        <v>27</v>
      </c>
      <c r="J672">
        <v>0</v>
      </c>
      <c r="K672">
        <f t="shared" ca="1" si="60"/>
        <v>15</v>
      </c>
      <c r="L672">
        <f t="shared" ca="1" si="61"/>
        <v>0</v>
      </c>
      <c r="M672" t="str">
        <f t="shared" ca="1" si="62"/>
        <v>Low</v>
      </c>
      <c r="N672">
        <f t="shared" ca="1" si="63"/>
        <v>0.12</v>
      </c>
      <c r="O672">
        <f t="shared" ca="1" si="64"/>
        <v>0</v>
      </c>
      <c r="P672">
        <f t="shared" ca="1" si="65"/>
        <v>52969.181999999993</v>
      </c>
    </row>
    <row r="673" spans="1:16" x14ac:dyDescent="0.3">
      <c r="A673" t="s">
        <v>1058</v>
      </c>
      <c r="B673" t="s">
        <v>950</v>
      </c>
      <c r="C673" t="s">
        <v>54</v>
      </c>
      <c r="D673" t="s">
        <v>13</v>
      </c>
      <c r="E673" s="1">
        <v>46164</v>
      </c>
      <c r="F673">
        <v>43039.66</v>
      </c>
      <c r="G673">
        <v>13.14</v>
      </c>
      <c r="H673">
        <v>84</v>
      </c>
      <c r="I673" t="s">
        <v>14</v>
      </c>
      <c r="J673">
        <v>16355</v>
      </c>
      <c r="K673">
        <f t="shared" ca="1" si="60"/>
        <v>0</v>
      </c>
      <c r="L673">
        <f t="shared" ca="1" si="61"/>
        <v>0</v>
      </c>
      <c r="M673" t="str">
        <f t="shared" ca="1" si="62"/>
        <v>Low</v>
      </c>
      <c r="N673">
        <f t="shared" ca="1" si="63"/>
        <v>0.84</v>
      </c>
      <c r="O673">
        <f t="shared" ca="1" si="64"/>
        <v>0</v>
      </c>
      <c r="P673">
        <f t="shared" ca="1" si="65"/>
        <v>0</v>
      </c>
    </row>
    <row r="674" spans="1:16" x14ac:dyDescent="0.3">
      <c r="A674" t="s">
        <v>1059</v>
      </c>
      <c r="B674" t="s">
        <v>456</v>
      </c>
      <c r="C674" t="s">
        <v>123</v>
      </c>
      <c r="D674" t="s">
        <v>26</v>
      </c>
      <c r="E674" s="1">
        <v>45606</v>
      </c>
      <c r="F674">
        <v>59547.839999999997</v>
      </c>
      <c r="G674">
        <v>19.87</v>
      </c>
      <c r="H674">
        <v>60</v>
      </c>
      <c r="I674" t="s">
        <v>27</v>
      </c>
      <c r="J674">
        <v>0</v>
      </c>
      <c r="K674">
        <f t="shared" ca="1" si="60"/>
        <v>90</v>
      </c>
      <c r="L674">
        <f t="shared" ca="1" si="61"/>
        <v>1</v>
      </c>
      <c r="M674" t="str">
        <f t="shared" ca="1" si="62"/>
        <v>High</v>
      </c>
      <c r="N674">
        <f t="shared" ca="1" si="63"/>
        <v>15</v>
      </c>
      <c r="O674">
        <f t="shared" ca="1" si="64"/>
        <v>6</v>
      </c>
      <c r="P674">
        <f t="shared" ca="1" si="65"/>
        <v>56570.447999999997</v>
      </c>
    </row>
    <row r="675" spans="1:16" x14ac:dyDescent="0.3">
      <c r="A675" t="s">
        <v>1060</v>
      </c>
      <c r="B675" t="s">
        <v>296</v>
      </c>
      <c r="C675" t="s">
        <v>51</v>
      </c>
      <c r="D675" t="s">
        <v>75</v>
      </c>
      <c r="E675" s="1">
        <v>45833</v>
      </c>
      <c r="F675">
        <v>47930.06</v>
      </c>
      <c r="G675">
        <v>7.63</v>
      </c>
      <c r="H675">
        <v>24</v>
      </c>
      <c r="I675" t="s">
        <v>19</v>
      </c>
      <c r="J675">
        <v>0</v>
      </c>
      <c r="K675">
        <f t="shared" ca="1" si="60"/>
        <v>0</v>
      </c>
      <c r="L675">
        <f t="shared" ca="1" si="61"/>
        <v>0</v>
      </c>
      <c r="M675" t="str">
        <f t="shared" ca="1" si="62"/>
        <v>Low</v>
      </c>
      <c r="N675">
        <f t="shared" ca="1" si="63"/>
        <v>0.24</v>
      </c>
      <c r="O675">
        <f t="shared" ca="1" si="64"/>
        <v>0</v>
      </c>
      <c r="P675">
        <f t="shared" ca="1" si="65"/>
        <v>57036.771399999998</v>
      </c>
    </row>
    <row r="676" spans="1:16" x14ac:dyDescent="0.3">
      <c r="A676" t="s">
        <v>1061</v>
      </c>
      <c r="B676" t="s">
        <v>569</v>
      </c>
      <c r="C676" t="s">
        <v>17</v>
      </c>
      <c r="D676" t="s">
        <v>18</v>
      </c>
      <c r="E676" s="1">
        <v>45521</v>
      </c>
      <c r="F676">
        <v>58442.35</v>
      </c>
      <c r="G676">
        <v>13.22</v>
      </c>
      <c r="H676">
        <v>240</v>
      </c>
      <c r="I676" t="s">
        <v>14</v>
      </c>
      <c r="J676">
        <v>37988</v>
      </c>
      <c r="K676">
        <f t="shared" ca="1" si="60"/>
        <v>45</v>
      </c>
      <c r="L676">
        <f t="shared" ca="1" si="61"/>
        <v>0</v>
      </c>
      <c r="M676" t="str">
        <f t="shared" ca="1" si="62"/>
        <v>Medium</v>
      </c>
      <c r="N676">
        <f t="shared" ca="1" si="63"/>
        <v>12</v>
      </c>
      <c r="O676">
        <f t="shared" ca="1" si="64"/>
        <v>0</v>
      </c>
      <c r="P676">
        <f t="shared" ca="1" si="65"/>
        <v>0</v>
      </c>
    </row>
    <row r="677" spans="1:16" x14ac:dyDescent="0.3">
      <c r="A677" t="s">
        <v>1062</v>
      </c>
      <c r="B677" t="s">
        <v>931</v>
      </c>
      <c r="C677" t="s">
        <v>12</v>
      </c>
      <c r="D677" t="s">
        <v>22</v>
      </c>
      <c r="E677" s="1">
        <v>45620</v>
      </c>
      <c r="F677">
        <v>64047.01</v>
      </c>
      <c r="G677">
        <v>6.31</v>
      </c>
      <c r="H677">
        <v>24</v>
      </c>
      <c r="I677" t="s">
        <v>14</v>
      </c>
      <c r="J677">
        <v>50597</v>
      </c>
      <c r="K677">
        <f t="shared" ca="1" si="60"/>
        <v>30</v>
      </c>
      <c r="L677">
        <f t="shared" ca="1" si="61"/>
        <v>0</v>
      </c>
      <c r="M677" t="str">
        <f t="shared" ca="1" si="62"/>
        <v>Medium</v>
      </c>
      <c r="N677">
        <f t="shared" ca="1" si="63"/>
        <v>1.2000000000000002</v>
      </c>
      <c r="O677">
        <f t="shared" ca="1" si="64"/>
        <v>0</v>
      </c>
      <c r="P677">
        <f t="shared" ca="1" si="65"/>
        <v>71732.651200000008</v>
      </c>
    </row>
    <row r="678" spans="1:16" x14ac:dyDescent="0.3">
      <c r="A678" t="s">
        <v>1063</v>
      </c>
      <c r="B678" t="s">
        <v>924</v>
      </c>
      <c r="C678" t="s">
        <v>51</v>
      </c>
      <c r="D678" t="s">
        <v>75</v>
      </c>
      <c r="E678" s="1">
        <v>45890</v>
      </c>
      <c r="F678">
        <v>98041.54</v>
      </c>
      <c r="G678">
        <v>14.85</v>
      </c>
      <c r="H678">
        <v>84</v>
      </c>
      <c r="I678" t="s">
        <v>14</v>
      </c>
      <c r="J678">
        <v>36275</v>
      </c>
      <c r="K678">
        <f t="shared" ca="1" si="60"/>
        <v>0</v>
      </c>
      <c r="L678">
        <f t="shared" ca="1" si="61"/>
        <v>0</v>
      </c>
      <c r="M678" t="str">
        <f t="shared" ca="1" si="62"/>
        <v>Low</v>
      </c>
      <c r="N678">
        <f t="shared" ca="1" si="63"/>
        <v>0.84</v>
      </c>
      <c r="O678">
        <f t="shared" ca="1" si="64"/>
        <v>0</v>
      </c>
      <c r="P678">
        <f t="shared" ca="1" si="65"/>
        <v>100002.3708</v>
      </c>
    </row>
    <row r="679" spans="1:16" x14ac:dyDescent="0.3">
      <c r="A679" t="s">
        <v>1064</v>
      </c>
      <c r="B679" t="s">
        <v>1065</v>
      </c>
      <c r="C679" t="s">
        <v>12</v>
      </c>
      <c r="D679" t="s">
        <v>30</v>
      </c>
      <c r="E679" s="1">
        <v>45585</v>
      </c>
      <c r="F679">
        <v>78383.789999999994</v>
      </c>
      <c r="G679">
        <v>4.63</v>
      </c>
      <c r="H679">
        <v>72</v>
      </c>
      <c r="I679" t="s">
        <v>14</v>
      </c>
      <c r="J679">
        <v>72113</v>
      </c>
      <c r="K679">
        <f t="shared" ca="1" si="60"/>
        <v>45</v>
      </c>
      <c r="L679">
        <f t="shared" ca="1" si="61"/>
        <v>0</v>
      </c>
      <c r="M679" t="str">
        <f t="shared" ca="1" si="62"/>
        <v>Medium</v>
      </c>
      <c r="N679">
        <f t="shared" ca="1" si="63"/>
        <v>3.6</v>
      </c>
      <c r="O679">
        <f t="shared" ca="1" si="64"/>
        <v>0</v>
      </c>
      <c r="P679">
        <f t="shared" ca="1" si="65"/>
        <v>0</v>
      </c>
    </row>
    <row r="680" spans="1:16" x14ac:dyDescent="0.3">
      <c r="A680" t="s">
        <v>1066</v>
      </c>
      <c r="B680" t="s">
        <v>1067</v>
      </c>
      <c r="C680" t="s">
        <v>123</v>
      </c>
      <c r="D680" t="s">
        <v>26</v>
      </c>
      <c r="E680" s="1">
        <v>45712</v>
      </c>
      <c r="F680">
        <v>93004.85</v>
      </c>
      <c r="G680">
        <v>18.920000000000002</v>
      </c>
      <c r="H680">
        <v>60</v>
      </c>
      <c r="I680" t="s">
        <v>14</v>
      </c>
      <c r="J680">
        <v>40922</v>
      </c>
      <c r="K680">
        <f t="shared" ca="1" si="60"/>
        <v>60</v>
      </c>
      <c r="L680">
        <f t="shared" ca="1" si="61"/>
        <v>0</v>
      </c>
      <c r="M680" t="str">
        <f t="shared" ca="1" si="62"/>
        <v>Medium</v>
      </c>
      <c r="N680">
        <f t="shared" ca="1" si="63"/>
        <v>6</v>
      </c>
      <c r="O680">
        <f t="shared" ca="1" si="64"/>
        <v>0</v>
      </c>
      <c r="P680">
        <f t="shared" ca="1" si="65"/>
        <v>81844.268000000011</v>
      </c>
    </row>
    <row r="681" spans="1:16" x14ac:dyDescent="0.3">
      <c r="A681" t="s">
        <v>1068</v>
      </c>
      <c r="B681" t="s">
        <v>90</v>
      </c>
      <c r="C681" t="s">
        <v>33</v>
      </c>
      <c r="D681" t="s">
        <v>18</v>
      </c>
      <c r="E681" s="1">
        <v>46127</v>
      </c>
      <c r="F681">
        <v>89913.77</v>
      </c>
      <c r="G681">
        <v>18.13</v>
      </c>
      <c r="H681">
        <v>240</v>
      </c>
      <c r="I681" t="s">
        <v>27</v>
      </c>
      <c r="J681">
        <v>0</v>
      </c>
      <c r="K681">
        <f t="shared" ca="1" si="60"/>
        <v>15</v>
      </c>
      <c r="L681">
        <f t="shared" ca="1" si="61"/>
        <v>0</v>
      </c>
      <c r="M681" t="str">
        <f t="shared" ca="1" si="62"/>
        <v>Low</v>
      </c>
      <c r="N681">
        <f t="shared" ca="1" si="63"/>
        <v>2.4</v>
      </c>
      <c r="O681">
        <f t="shared" ca="1" si="64"/>
        <v>0</v>
      </c>
      <c r="P681">
        <f t="shared" ca="1" si="65"/>
        <v>0</v>
      </c>
    </row>
    <row r="682" spans="1:16" x14ac:dyDescent="0.3">
      <c r="A682" t="s">
        <v>1069</v>
      </c>
      <c r="B682" t="s">
        <v>429</v>
      </c>
      <c r="C682" t="s">
        <v>12</v>
      </c>
      <c r="D682" t="s">
        <v>13</v>
      </c>
      <c r="E682" s="1">
        <v>45657</v>
      </c>
      <c r="F682">
        <v>61866.94</v>
      </c>
      <c r="G682">
        <v>21.1</v>
      </c>
      <c r="H682">
        <v>240</v>
      </c>
      <c r="I682" t="s">
        <v>14</v>
      </c>
      <c r="J682">
        <v>35883</v>
      </c>
      <c r="K682">
        <f t="shared" ca="1" si="60"/>
        <v>90</v>
      </c>
      <c r="L682">
        <f t="shared" ca="1" si="61"/>
        <v>1</v>
      </c>
      <c r="M682" t="str">
        <f t="shared" ca="1" si="62"/>
        <v>High</v>
      </c>
      <c r="N682">
        <f t="shared" ca="1" si="63"/>
        <v>60</v>
      </c>
      <c r="O682">
        <f t="shared" ca="1" si="64"/>
        <v>16.8</v>
      </c>
      <c r="P682">
        <f t="shared" ca="1" si="65"/>
        <v>0</v>
      </c>
    </row>
    <row r="683" spans="1:16" x14ac:dyDescent="0.3">
      <c r="A683" t="s">
        <v>1070</v>
      </c>
      <c r="B683" t="s">
        <v>1071</v>
      </c>
      <c r="C683" t="s">
        <v>17</v>
      </c>
      <c r="D683" t="s">
        <v>22</v>
      </c>
      <c r="E683" s="1">
        <v>46031</v>
      </c>
      <c r="F683">
        <v>13727.81</v>
      </c>
      <c r="G683">
        <v>17.97</v>
      </c>
      <c r="H683">
        <v>72</v>
      </c>
      <c r="I683" t="s">
        <v>19</v>
      </c>
      <c r="J683">
        <v>0</v>
      </c>
      <c r="K683">
        <f t="shared" ca="1" si="60"/>
        <v>0</v>
      </c>
      <c r="L683">
        <f t="shared" ca="1" si="61"/>
        <v>0</v>
      </c>
      <c r="M683" t="str">
        <f t="shared" ca="1" si="62"/>
        <v>Low</v>
      </c>
      <c r="N683">
        <f t="shared" ca="1" si="63"/>
        <v>0.72</v>
      </c>
      <c r="O683">
        <f t="shared" ca="1" si="64"/>
        <v>0</v>
      </c>
      <c r="P683">
        <f t="shared" ca="1" si="65"/>
        <v>16473.371999999999</v>
      </c>
    </row>
    <row r="684" spans="1:16" x14ac:dyDescent="0.3">
      <c r="A684" t="s">
        <v>1072</v>
      </c>
      <c r="B684" t="s">
        <v>338</v>
      </c>
      <c r="C684" t="s">
        <v>123</v>
      </c>
      <c r="D684" t="s">
        <v>18</v>
      </c>
      <c r="E684" s="1">
        <v>45909</v>
      </c>
      <c r="F684">
        <v>72587.820000000007</v>
      </c>
      <c r="G684">
        <v>5.66</v>
      </c>
      <c r="H684">
        <v>60</v>
      </c>
      <c r="I684" t="s">
        <v>14</v>
      </c>
      <c r="J684">
        <v>67507</v>
      </c>
      <c r="K684">
        <f t="shared" ca="1" si="60"/>
        <v>90</v>
      </c>
      <c r="L684">
        <f t="shared" ca="1" si="61"/>
        <v>1</v>
      </c>
      <c r="M684" t="str">
        <f t="shared" ca="1" si="62"/>
        <v>High</v>
      </c>
      <c r="N684">
        <f t="shared" ca="1" si="63"/>
        <v>15</v>
      </c>
      <c r="O684">
        <f t="shared" ca="1" si="64"/>
        <v>8.4</v>
      </c>
      <c r="P684">
        <f t="shared" ca="1" si="65"/>
        <v>0</v>
      </c>
    </row>
    <row r="685" spans="1:16" x14ac:dyDescent="0.3">
      <c r="A685" t="s">
        <v>1073</v>
      </c>
      <c r="B685" t="s">
        <v>1074</v>
      </c>
      <c r="C685" t="s">
        <v>51</v>
      </c>
      <c r="D685" t="s">
        <v>26</v>
      </c>
      <c r="E685" s="1">
        <v>45838</v>
      </c>
      <c r="F685">
        <v>87891.99</v>
      </c>
      <c r="G685">
        <v>15.84</v>
      </c>
      <c r="H685">
        <v>120</v>
      </c>
      <c r="I685" t="s">
        <v>14</v>
      </c>
      <c r="J685">
        <v>66798</v>
      </c>
      <c r="K685">
        <f t="shared" ca="1" si="60"/>
        <v>0</v>
      </c>
      <c r="L685">
        <f t="shared" ca="1" si="61"/>
        <v>0</v>
      </c>
      <c r="M685" t="str">
        <f t="shared" ca="1" si="62"/>
        <v>Low</v>
      </c>
      <c r="N685">
        <f t="shared" ca="1" si="63"/>
        <v>1.2</v>
      </c>
      <c r="O685">
        <f t="shared" ca="1" si="64"/>
        <v>0</v>
      </c>
      <c r="P685">
        <f t="shared" ca="1" si="65"/>
        <v>112501.74720000001</v>
      </c>
    </row>
    <row r="686" spans="1:16" x14ac:dyDescent="0.3">
      <c r="A686" t="s">
        <v>1075</v>
      </c>
      <c r="B686" t="s">
        <v>586</v>
      </c>
      <c r="C686" t="s">
        <v>39</v>
      </c>
      <c r="D686" t="s">
        <v>30</v>
      </c>
      <c r="E686" s="1">
        <v>45760</v>
      </c>
      <c r="F686">
        <v>43905.22</v>
      </c>
      <c r="G686">
        <v>18.760000000000002</v>
      </c>
      <c r="H686">
        <v>72</v>
      </c>
      <c r="I686" t="s">
        <v>14</v>
      </c>
      <c r="J686">
        <v>39954</v>
      </c>
      <c r="K686">
        <f t="shared" ca="1" si="60"/>
        <v>15</v>
      </c>
      <c r="L686">
        <f t="shared" ca="1" si="61"/>
        <v>0</v>
      </c>
      <c r="M686" t="str">
        <f t="shared" ca="1" si="62"/>
        <v>Low</v>
      </c>
      <c r="N686">
        <f t="shared" ca="1" si="63"/>
        <v>0.72</v>
      </c>
      <c r="O686">
        <f t="shared" ca="1" si="64"/>
        <v>0</v>
      </c>
      <c r="P686">
        <f t="shared" ca="1" si="65"/>
        <v>0</v>
      </c>
    </row>
    <row r="687" spans="1:16" x14ac:dyDescent="0.3">
      <c r="A687" t="s">
        <v>1076</v>
      </c>
      <c r="B687" t="s">
        <v>381</v>
      </c>
      <c r="C687" t="s">
        <v>54</v>
      </c>
      <c r="D687" t="s">
        <v>26</v>
      </c>
      <c r="E687" s="1">
        <v>45737</v>
      </c>
      <c r="F687">
        <v>97255.88</v>
      </c>
      <c r="G687">
        <v>5.31</v>
      </c>
      <c r="H687">
        <v>24</v>
      </c>
      <c r="I687" t="s">
        <v>27</v>
      </c>
      <c r="J687">
        <v>0</v>
      </c>
      <c r="K687">
        <f t="shared" ca="1" si="60"/>
        <v>0</v>
      </c>
      <c r="L687">
        <f t="shared" ca="1" si="61"/>
        <v>0</v>
      </c>
      <c r="M687" t="str">
        <f t="shared" ca="1" si="62"/>
        <v>Low</v>
      </c>
      <c r="N687">
        <f t="shared" ca="1" si="63"/>
        <v>0.24</v>
      </c>
      <c r="O687">
        <f t="shared" ca="1" si="64"/>
        <v>0</v>
      </c>
      <c r="P687">
        <f t="shared" ca="1" si="65"/>
        <v>123514.9676</v>
      </c>
    </row>
    <row r="688" spans="1:16" x14ac:dyDescent="0.3">
      <c r="A688" t="s">
        <v>1077</v>
      </c>
      <c r="B688" t="s">
        <v>1078</v>
      </c>
      <c r="C688" t="s">
        <v>54</v>
      </c>
      <c r="D688" t="s">
        <v>30</v>
      </c>
      <c r="E688" s="1">
        <v>45584</v>
      </c>
      <c r="F688">
        <v>82815.91</v>
      </c>
      <c r="G688">
        <v>17.73</v>
      </c>
      <c r="H688">
        <v>36</v>
      </c>
      <c r="I688" t="s">
        <v>14</v>
      </c>
      <c r="J688">
        <v>33955</v>
      </c>
      <c r="K688">
        <f t="shared" ca="1" si="60"/>
        <v>45</v>
      </c>
      <c r="L688">
        <f t="shared" ca="1" si="61"/>
        <v>0</v>
      </c>
      <c r="M688" t="str">
        <f t="shared" ca="1" si="62"/>
        <v>Medium</v>
      </c>
      <c r="N688">
        <f t="shared" ca="1" si="63"/>
        <v>1.8</v>
      </c>
      <c r="O688">
        <f t="shared" ca="1" si="64"/>
        <v>0</v>
      </c>
      <c r="P688">
        <f t="shared" ca="1" si="65"/>
        <v>0</v>
      </c>
    </row>
    <row r="689" spans="1:16" x14ac:dyDescent="0.3">
      <c r="A689" t="s">
        <v>1079</v>
      </c>
      <c r="B689" t="s">
        <v>159</v>
      </c>
      <c r="C689" t="s">
        <v>17</v>
      </c>
      <c r="D689" t="s">
        <v>18</v>
      </c>
      <c r="E689" s="1">
        <v>45499</v>
      </c>
      <c r="F689">
        <v>68569.3</v>
      </c>
      <c r="G689">
        <v>20.81</v>
      </c>
      <c r="H689">
        <v>12</v>
      </c>
      <c r="I689" t="s">
        <v>14</v>
      </c>
      <c r="J689">
        <v>63769</v>
      </c>
      <c r="K689">
        <f t="shared" ca="1" si="60"/>
        <v>60</v>
      </c>
      <c r="L689">
        <f t="shared" ca="1" si="61"/>
        <v>0</v>
      </c>
      <c r="M689" t="str">
        <f t="shared" ca="1" si="62"/>
        <v>Medium</v>
      </c>
      <c r="N689">
        <f t="shared" ca="1" si="63"/>
        <v>1.2000000000000002</v>
      </c>
      <c r="O689">
        <f t="shared" ca="1" si="64"/>
        <v>0</v>
      </c>
      <c r="P689">
        <f t="shared" ca="1" si="65"/>
        <v>0</v>
      </c>
    </row>
    <row r="690" spans="1:16" x14ac:dyDescent="0.3">
      <c r="A690" t="s">
        <v>1080</v>
      </c>
      <c r="B690" t="s">
        <v>29</v>
      </c>
      <c r="C690" t="s">
        <v>123</v>
      </c>
      <c r="D690" t="s">
        <v>30</v>
      </c>
      <c r="E690" s="1">
        <v>45452</v>
      </c>
      <c r="F690">
        <v>91856.97</v>
      </c>
      <c r="G690">
        <v>12.4</v>
      </c>
      <c r="H690">
        <v>360</v>
      </c>
      <c r="I690" t="s">
        <v>14</v>
      </c>
      <c r="J690">
        <v>36743</v>
      </c>
      <c r="K690">
        <f t="shared" ca="1" si="60"/>
        <v>0</v>
      </c>
      <c r="L690">
        <f t="shared" ca="1" si="61"/>
        <v>0</v>
      </c>
      <c r="M690" t="str">
        <f t="shared" ca="1" si="62"/>
        <v>Low</v>
      </c>
      <c r="N690">
        <f t="shared" ca="1" si="63"/>
        <v>3.6</v>
      </c>
      <c r="O690">
        <f t="shared" ca="1" si="64"/>
        <v>0</v>
      </c>
      <c r="P690">
        <f t="shared" ca="1" si="65"/>
        <v>0</v>
      </c>
    </row>
    <row r="691" spans="1:16" x14ac:dyDescent="0.3">
      <c r="A691" t="s">
        <v>1081</v>
      </c>
      <c r="B691" t="s">
        <v>1082</v>
      </c>
      <c r="C691" t="s">
        <v>17</v>
      </c>
      <c r="D691" t="s">
        <v>75</v>
      </c>
      <c r="E691" s="1">
        <v>45323</v>
      </c>
      <c r="F691">
        <v>20342.39</v>
      </c>
      <c r="G691">
        <v>6.23</v>
      </c>
      <c r="H691">
        <v>48</v>
      </c>
      <c r="I691" t="s">
        <v>19</v>
      </c>
      <c r="J691">
        <v>0</v>
      </c>
      <c r="K691">
        <f t="shared" ca="1" si="60"/>
        <v>0</v>
      </c>
      <c r="L691">
        <f t="shared" ca="1" si="61"/>
        <v>0</v>
      </c>
      <c r="M691" t="str">
        <f t="shared" ca="1" si="62"/>
        <v>Low</v>
      </c>
      <c r="N691">
        <f t="shared" ca="1" si="63"/>
        <v>0.48</v>
      </c>
      <c r="O691">
        <f t="shared" ca="1" si="64"/>
        <v>0</v>
      </c>
      <c r="P691">
        <f t="shared" ca="1" si="65"/>
        <v>19121.846600000001</v>
      </c>
    </row>
    <row r="692" spans="1:16" x14ac:dyDescent="0.3">
      <c r="A692" t="s">
        <v>1083</v>
      </c>
      <c r="B692" t="s">
        <v>680</v>
      </c>
      <c r="C692" t="s">
        <v>36</v>
      </c>
      <c r="D692" t="s">
        <v>75</v>
      </c>
      <c r="E692" s="1">
        <v>46017</v>
      </c>
      <c r="F692">
        <v>71870.86</v>
      </c>
      <c r="G692">
        <v>12.71</v>
      </c>
      <c r="H692">
        <v>360</v>
      </c>
      <c r="I692" t="s">
        <v>27</v>
      </c>
      <c r="J692">
        <v>0</v>
      </c>
      <c r="K692">
        <f t="shared" ca="1" si="60"/>
        <v>45</v>
      </c>
      <c r="L692">
        <f t="shared" ca="1" si="61"/>
        <v>0</v>
      </c>
      <c r="M692" t="str">
        <f t="shared" ca="1" si="62"/>
        <v>Medium</v>
      </c>
      <c r="N692">
        <f t="shared" ca="1" si="63"/>
        <v>18</v>
      </c>
      <c r="O692">
        <f t="shared" ca="1" si="64"/>
        <v>0</v>
      </c>
      <c r="P692">
        <f t="shared" ca="1" si="65"/>
        <v>58934.105200000005</v>
      </c>
    </row>
    <row r="693" spans="1:16" x14ac:dyDescent="0.3">
      <c r="A693" t="s">
        <v>1084</v>
      </c>
      <c r="B693" t="s">
        <v>383</v>
      </c>
      <c r="C693" t="s">
        <v>36</v>
      </c>
      <c r="D693" t="s">
        <v>18</v>
      </c>
      <c r="E693" s="1">
        <v>45919</v>
      </c>
      <c r="F693">
        <v>50784.91</v>
      </c>
      <c r="G693">
        <v>17.12</v>
      </c>
      <c r="H693">
        <v>180</v>
      </c>
      <c r="I693" t="s">
        <v>14</v>
      </c>
      <c r="J693">
        <v>20822</v>
      </c>
      <c r="K693">
        <f t="shared" ca="1" si="60"/>
        <v>0</v>
      </c>
      <c r="L693">
        <f t="shared" ca="1" si="61"/>
        <v>0</v>
      </c>
      <c r="M693" t="str">
        <f t="shared" ca="1" si="62"/>
        <v>Low</v>
      </c>
      <c r="N693">
        <f t="shared" ca="1" si="63"/>
        <v>1.8</v>
      </c>
      <c r="O693">
        <f t="shared" ca="1" si="64"/>
        <v>0</v>
      </c>
      <c r="P693">
        <f t="shared" ca="1" si="65"/>
        <v>0</v>
      </c>
    </row>
    <row r="694" spans="1:16" x14ac:dyDescent="0.3">
      <c r="A694" t="s">
        <v>1085</v>
      </c>
      <c r="B694" t="s">
        <v>119</v>
      </c>
      <c r="C694" t="s">
        <v>33</v>
      </c>
      <c r="D694" t="s">
        <v>22</v>
      </c>
      <c r="E694" s="1">
        <v>45332</v>
      </c>
      <c r="F694">
        <v>48799.88</v>
      </c>
      <c r="G694">
        <v>11.8</v>
      </c>
      <c r="H694">
        <v>240</v>
      </c>
      <c r="I694" t="s">
        <v>14</v>
      </c>
      <c r="J694">
        <v>36600</v>
      </c>
      <c r="K694">
        <f t="shared" ca="1" si="60"/>
        <v>45</v>
      </c>
      <c r="L694">
        <f t="shared" ca="1" si="61"/>
        <v>0</v>
      </c>
      <c r="M694" t="str">
        <f t="shared" ca="1" si="62"/>
        <v>Medium</v>
      </c>
      <c r="N694">
        <f t="shared" ca="1" si="63"/>
        <v>12</v>
      </c>
      <c r="O694">
        <f t="shared" ca="1" si="64"/>
        <v>0</v>
      </c>
      <c r="P694">
        <f t="shared" ca="1" si="65"/>
        <v>56607.860800000002</v>
      </c>
    </row>
    <row r="695" spans="1:16" x14ac:dyDescent="0.3">
      <c r="A695" t="s">
        <v>1086</v>
      </c>
      <c r="B695" t="s">
        <v>1087</v>
      </c>
      <c r="C695" t="s">
        <v>39</v>
      </c>
      <c r="D695" t="s">
        <v>26</v>
      </c>
      <c r="E695" s="1">
        <v>45292</v>
      </c>
      <c r="F695">
        <v>70472.070000000007</v>
      </c>
      <c r="G695">
        <v>8.52</v>
      </c>
      <c r="H695">
        <v>180</v>
      </c>
      <c r="I695" t="s">
        <v>14</v>
      </c>
      <c r="J695">
        <v>57787</v>
      </c>
      <c r="K695">
        <f t="shared" ca="1" si="60"/>
        <v>60</v>
      </c>
      <c r="L695">
        <f t="shared" ca="1" si="61"/>
        <v>0</v>
      </c>
      <c r="M695" t="str">
        <f t="shared" ca="1" si="62"/>
        <v>Medium</v>
      </c>
      <c r="N695">
        <f t="shared" ca="1" si="63"/>
        <v>18</v>
      </c>
      <c r="O695">
        <f t="shared" ca="1" si="64"/>
        <v>0</v>
      </c>
      <c r="P695">
        <f t="shared" ca="1" si="65"/>
        <v>88794.808199999999</v>
      </c>
    </row>
    <row r="696" spans="1:16" x14ac:dyDescent="0.3">
      <c r="A696" t="s">
        <v>1088</v>
      </c>
      <c r="B696" t="s">
        <v>569</v>
      </c>
      <c r="C696" t="s">
        <v>33</v>
      </c>
      <c r="D696" t="s">
        <v>30</v>
      </c>
      <c r="E696" s="1">
        <v>45532</v>
      </c>
      <c r="F696">
        <v>64084.73</v>
      </c>
      <c r="G696">
        <v>15.82</v>
      </c>
      <c r="H696">
        <v>60</v>
      </c>
      <c r="I696" t="s">
        <v>27</v>
      </c>
      <c r="J696">
        <v>0</v>
      </c>
      <c r="K696">
        <f t="shared" ca="1" si="60"/>
        <v>30</v>
      </c>
      <c r="L696">
        <f t="shared" ca="1" si="61"/>
        <v>0</v>
      </c>
      <c r="M696" t="str">
        <f t="shared" ca="1" si="62"/>
        <v>Medium</v>
      </c>
      <c r="N696">
        <f t="shared" ca="1" si="63"/>
        <v>3</v>
      </c>
      <c r="O696">
        <f t="shared" ca="1" si="64"/>
        <v>0</v>
      </c>
      <c r="P696">
        <f t="shared" ca="1" si="65"/>
        <v>0</v>
      </c>
    </row>
    <row r="697" spans="1:16" x14ac:dyDescent="0.3">
      <c r="A697" t="s">
        <v>1089</v>
      </c>
      <c r="B697" t="s">
        <v>1090</v>
      </c>
      <c r="C697" t="s">
        <v>70</v>
      </c>
      <c r="D697" t="s">
        <v>18</v>
      </c>
      <c r="E697" s="1">
        <v>45866</v>
      </c>
      <c r="F697">
        <v>62301.73</v>
      </c>
      <c r="G697">
        <v>17.059999999999999</v>
      </c>
      <c r="H697">
        <v>12</v>
      </c>
      <c r="I697" t="s">
        <v>14</v>
      </c>
      <c r="J697">
        <v>55449</v>
      </c>
      <c r="K697">
        <f t="shared" ca="1" si="60"/>
        <v>15</v>
      </c>
      <c r="L697">
        <f t="shared" ca="1" si="61"/>
        <v>0</v>
      </c>
      <c r="M697" t="str">
        <f t="shared" ca="1" si="62"/>
        <v>Low</v>
      </c>
      <c r="N697">
        <f t="shared" ca="1" si="63"/>
        <v>0.12</v>
      </c>
      <c r="O697">
        <f t="shared" ca="1" si="64"/>
        <v>0</v>
      </c>
      <c r="P697">
        <f t="shared" ca="1" si="65"/>
        <v>0</v>
      </c>
    </row>
    <row r="698" spans="1:16" x14ac:dyDescent="0.3">
      <c r="A698" t="s">
        <v>1091</v>
      </c>
      <c r="B698" t="s">
        <v>1092</v>
      </c>
      <c r="C698" t="s">
        <v>36</v>
      </c>
      <c r="D698" t="s">
        <v>13</v>
      </c>
      <c r="E698" s="1">
        <v>45702</v>
      </c>
      <c r="F698">
        <v>62766.35</v>
      </c>
      <c r="G698">
        <v>20.48</v>
      </c>
      <c r="H698">
        <v>360</v>
      </c>
      <c r="I698" t="s">
        <v>14</v>
      </c>
      <c r="J698">
        <v>51468</v>
      </c>
      <c r="K698">
        <f t="shared" ca="1" si="60"/>
        <v>30</v>
      </c>
      <c r="L698">
        <f t="shared" ca="1" si="61"/>
        <v>0</v>
      </c>
      <c r="M698" t="str">
        <f t="shared" ca="1" si="62"/>
        <v>Medium</v>
      </c>
      <c r="N698">
        <f t="shared" ca="1" si="63"/>
        <v>18</v>
      </c>
      <c r="O698">
        <f t="shared" ca="1" si="64"/>
        <v>0</v>
      </c>
      <c r="P698">
        <f t="shared" ca="1" si="65"/>
        <v>0</v>
      </c>
    </row>
    <row r="699" spans="1:16" x14ac:dyDescent="0.3">
      <c r="A699" t="s">
        <v>1093</v>
      </c>
      <c r="B699" t="s">
        <v>179</v>
      </c>
      <c r="C699" t="s">
        <v>25</v>
      </c>
      <c r="D699" t="s">
        <v>22</v>
      </c>
      <c r="E699" s="1">
        <v>45488</v>
      </c>
      <c r="F699">
        <v>65586.63</v>
      </c>
      <c r="G699">
        <v>21.29</v>
      </c>
      <c r="H699">
        <v>36</v>
      </c>
      <c r="I699" t="s">
        <v>27</v>
      </c>
      <c r="J699">
        <v>0</v>
      </c>
      <c r="K699">
        <f t="shared" ca="1" si="60"/>
        <v>60</v>
      </c>
      <c r="L699">
        <f t="shared" ca="1" si="61"/>
        <v>0</v>
      </c>
      <c r="M699" t="str">
        <f t="shared" ca="1" si="62"/>
        <v>Medium</v>
      </c>
      <c r="N699">
        <f t="shared" ca="1" si="63"/>
        <v>3.6</v>
      </c>
      <c r="O699">
        <f t="shared" ca="1" si="64"/>
        <v>0</v>
      </c>
      <c r="P699">
        <f t="shared" ca="1" si="65"/>
        <v>73457.025600000008</v>
      </c>
    </row>
    <row r="700" spans="1:16" x14ac:dyDescent="0.3">
      <c r="A700" t="s">
        <v>1094</v>
      </c>
      <c r="B700" t="s">
        <v>1095</v>
      </c>
      <c r="C700" t="s">
        <v>12</v>
      </c>
      <c r="D700" t="s">
        <v>26</v>
      </c>
      <c r="E700" s="1">
        <v>45711</v>
      </c>
      <c r="F700">
        <v>28053.67</v>
      </c>
      <c r="G700">
        <v>13.54</v>
      </c>
      <c r="H700">
        <v>24</v>
      </c>
      <c r="I700" t="s">
        <v>27</v>
      </c>
      <c r="J700">
        <v>0</v>
      </c>
      <c r="K700">
        <f t="shared" ca="1" si="60"/>
        <v>90</v>
      </c>
      <c r="L700">
        <f t="shared" ca="1" si="61"/>
        <v>1</v>
      </c>
      <c r="M700" t="str">
        <f t="shared" ca="1" si="62"/>
        <v>High</v>
      </c>
      <c r="N700">
        <f t="shared" ca="1" si="63"/>
        <v>6</v>
      </c>
      <c r="O700">
        <f t="shared" ca="1" si="64"/>
        <v>1.68</v>
      </c>
      <c r="P700">
        <f t="shared" ca="1" si="65"/>
        <v>31700.647099999998</v>
      </c>
    </row>
    <row r="701" spans="1:16" x14ac:dyDescent="0.3">
      <c r="A701" t="s">
        <v>1096</v>
      </c>
      <c r="B701" t="s">
        <v>615</v>
      </c>
      <c r="C701" t="s">
        <v>51</v>
      </c>
      <c r="D701" t="s">
        <v>13</v>
      </c>
      <c r="E701" s="1">
        <v>45614</v>
      </c>
      <c r="F701">
        <v>2352.2199999999998</v>
      </c>
      <c r="G701">
        <v>15.86</v>
      </c>
      <c r="H701">
        <v>84</v>
      </c>
      <c r="I701" t="s">
        <v>19</v>
      </c>
      <c r="J701">
        <v>0</v>
      </c>
      <c r="K701">
        <f t="shared" ca="1" si="60"/>
        <v>0</v>
      </c>
      <c r="L701">
        <f t="shared" ca="1" si="61"/>
        <v>0</v>
      </c>
      <c r="M701" t="str">
        <f t="shared" ca="1" si="62"/>
        <v>Low</v>
      </c>
      <c r="N701">
        <f t="shared" ca="1" si="63"/>
        <v>0.84</v>
      </c>
      <c r="O701">
        <f t="shared" ca="1" si="64"/>
        <v>0</v>
      </c>
      <c r="P701">
        <f t="shared" ca="1" si="65"/>
        <v>0</v>
      </c>
    </row>
    <row r="702" spans="1:16" x14ac:dyDescent="0.3">
      <c r="A702" t="s">
        <v>1097</v>
      </c>
      <c r="B702" t="s">
        <v>322</v>
      </c>
      <c r="C702" t="s">
        <v>54</v>
      </c>
      <c r="D702" t="s">
        <v>18</v>
      </c>
      <c r="E702" s="1">
        <v>45443</v>
      </c>
      <c r="F702">
        <v>80011.06</v>
      </c>
      <c r="G702">
        <v>12.38</v>
      </c>
      <c r="H702">
        <v>24</v>
      </c>
      <c r="I702" t="s">
        <v>14</v>
      </c>
      <c r="J702">
        <v>70410</v>
      </c>
      <c r="K702">
        <f t="shared" ca="1" si="60"/>
        <v>15</v>
      </c>
      <c r="L702">
        <f t="shared" ca="1" si="61"/>
        <v>0</v>
      </c>
      <c r="M702" t="str">
        <f t="shared" ca="1" si="62"/>
        <v>Low</v>
      </c>
      <c r="N702">
        <f t="shared" ca="1" si="63"/>
        <v>0.24</v>
      </c>
      <c r="O702">
        <f t="shared" ca="1" si="64"/>
        <v>0</v>
      </c>
      <c r="P702">
        <f t="shared" ca="1" si="65"/>
        <v>0</v>
      </c>
    </row>
    <row r="703" spans="1:16" x14ac:dyDescent="0.3">
      <c r="A703" t="s">
        <v>1098</v>
      </c>
      <c r="B703" t="s">
        <v>109</v>
      </c>
      <c r="C703" t="s">
        <v>54</v>
      </c>
      <c r="D703" t="s">
        <v>30</v>
      </c>
      <c r="E703" s="1">
        <v>45963</v>
      </c>
      <c r="F703">
        <v>63109.45</v>
      </c>
      <c r="G703">
        <v>6.14</v>
      </c>
      <c r="H703">
        <v>72</v>
      </c>
      <c r="I703" t="s">
        <v>19</v>
      </c>
      <c r="J703">
        <v>0</v>
      </c>
      <c r="K703">
        <f t="shared" ca="1" si="60"/>
        <v>0</v>
      </c>
      <c r="L703">
        <f t="shared" ca="1" si="61"/>
        <v>0</v>
      </c>
      <c r="M703" t="str">
        <f t="shared" ca="1" si="62"/>
        <v>Low</v>
      </c>
      <c r="N703">
        <f t="shared" ca="1" si="63"/>
        <v>0.72</v>
      </c>
      <c r="O703">
        <f t="shared" ca="1" si="64"/>
        <v>0</v>
      </c>
      <c r="P703">
        <f t="shared" ca="1" si="65"/>
        <v>0</v>
      </c>
    </row>
    <row r="704" spans="1:16" x14ac:dyDescent="0.3">
      <c r="A704" t="s">
        <v>1099</v>
      </c>
      <c r="B704" t="s">
        <v>598</v>
      </c>
      <c r="C704" t="s">
        <v>17</v>
      </c>
      <c r="D704" t="s">
        <v>22</v>
      </c>
      <c r="E704" s="1">
        <v>46177</v>
      </c>
      <c r="F704">
        <v>5178.05</v>
      </c>
      <c r="G704">
        <v>9.9499999999999993</v>
      </c>
      <c r="H704">
        <v>84</v>
      </c>
      <c r="I704" t="s">
        <v>14</v>
      </c>
      <c r="J704">
        <v>2848</v>
      </c>
      <c r="K704">
        <f t="shared" ca="1" si="60"/>
        <v>0</v>
      </c>
      <c r="L704">
        <f t="shared" ca="1" si="61"/>
        <v>0</v>
      </c>
      <c r="M704" t="str">
        <f t="shared" ca="1" si="62"/>
        <v>Low</v>
      </c>
      <c r="N704">
        <f t="shared" ca="1" si="63"/>
        <v>0.84</v>
      </c>
      <c r="O704">
        <f t="shared" ca="1" si="64"/>
        <v>0</v>
      </c>
      <c r="P704">
        <f t="shared" ca="1" si="65"/>
        <v>3624.6350000000002</v>
      </c>
    </row>
    <row r="705" spans="1:16" x14ac:dyDescent="0.3">
      <c r="A705" t="s">
        <v>1100</v>
      </c>
      <c r="B705" t="s">
        <v>1101</v>
      </c>
      <c r="C705" t="s">
        <v>25</v>
      </c>
      <c r="D705" t="s">
        <v>26</v>
      </c>
      <c r="E705" s="1">
        <v>46005</v>
      </c>
      <c r="F705">
        <v>72355.05</v>
      </c>
      <c r="G705">
        <v>20.81</v>
      </c>
      <c r="H705">
        <v>72</v>
      </c>
      <c r="I705" t="s">
        <v>14</v>
      </c>
      <c r="J705">
        <v>47031</v>
      </c>
      <c r="K705">
        <f t="shared" ca="1" si="60"/>
        <v>45</v>
      </c>
      <c r="L705">
        <f t="shared" ca="1" si="61"/>
        <v>0</v>
      </c>
      <c r="M705" t="str">
        <f t="shared" ca="1" si="62"/>
        <v>Medium</v>
      </c>
      <c r="N705">
        <f t="shared" ca="1" si="63"/>
        <v>3.6</v>
      </c>
      <c r="O705">
        <f t="shared" ca="1" si="64"/>
        <v>0</v>
      </c>
      <c r="P705">
        <f t="shared" ca="1" si="65"/>
        <v>93338.014500000005</v>
      </c>
    </row>
    <row r="706" spans="1:16" x14ac:dyDescent="0.3">
      <c r="A706" t="s">
        <v>1102</v>
      </c>
      <c r="B706" t="s">
        <v>43</v>
      </c>
      <c r="C706" t="s">
        <v>54</v>
      </c>
      <c r="D706" t="s">
        <v>30</v>
      </c>
      <c r="E706" s="1">
        <v>46141</v>
      </c>
      <c r="F706">
        <v>37415.24</v>
      </c>
      <c r="G706">
        <v>15.11</v>
      </c>
      <c r="H706">
        <v>120</v>
      </c>
      <c r="I706" t="s">
        <v>14</v>
      </c>
      <c r="J706">
        <v>27313</v>
      </c>
      <c r="K706">
        <f t="shared" ca="1" si="60"/>
        <v>0</v>
      </c>
      <c r="L706">
        <f t="shared" ca="1" si="61"/>
        <v>0</v>
      </c>
      <c r="M706" t="str">
        <f t="shared" ca="1" si="62"/>
        <v>Low</v>
      </c>
      <c r="N706">
        <f t="shared" ca="1" si="63"/>
        <v>1.2</v>
      </c>
      <c r="O706">
        <f t="shared" ca="1" si="64"/>
        <v>0</v>
      </c>
      <c r="P706">
        <f t="shared" ca="1" si="65"/>
        <v>0</v>
      </c>
    </row>
    <row r="707" spans="1:16" x14ac:dyDescent="0.3">
      <c r="A707" t="s">
        <v>1103</v>
      </c>
      <c r="B707" t="s">
        <v>667</v>
      </c>
      <c r="C707" t="s">
        <v>39</v>
      </c>
      <c r="D707" t="s">
        <v>30</v>
      </c>
      <c r="E707" s="1">
        <v>45603</v>
      </c>
      <c r="F707">
        <v>83645.31</v>
      </c>
      <c r="G707">
        <v>5.0199999999999996</v>
      </c>
      <c r="H707">
        <v>60</v>
      </c>
      <c r="I707" t="s">
        <v>14</v>
      </c>
      <c r="J707">
        <v>46841</v>
      </c>
      <c r="K707">
        <f t="shared" ref="K707:K770" ca="1" si="66">IF(I707="Paid Off",0,CHOOSE(RANDBETWEEN(1,10),0,0,0,0,15,30,45,60,90,120))</f>
        <v>0</v>
      </c>
      <c r="L707">
        <f t="shared" ref="L707:L770" ca="1" si="67">IF(K707&gt;=90,1,0)</f>
        <v>0</v>
      </c>
      <c r="M707" t="str">
        <f t="shared" ref="M707:M770" ca="1" si="68">IF(K707&gt;=90,"High",IF(K707&gt;=30,"Medium","Low"))</f>
        <v>Low</v>
      </c>
      <c r="N707">
        <f t="shared" ref="N707:N770" ca="1" si="69">IF(L707=1,H707*0.25,IF(K707&gt;=60,H707*0.1,IF(K707&gt;=30,H707*0.05,H707*0.01)))</f>
        <v>0.6</v>
      </c>
      <c r="O707">
        <f t="shared" ref="O707:O770" ca="1" si="70">IF(L707=1,H707*RANDBETWEEN(5,30)/100,0)</f>
        <v>0</v>
      </c>
      <c r="P707">
        <f t="shared" ref="P707:P770" ca="1" si="71">IF(OR(D707="P02",D707="P03",D707="P05"),F707*RANDBETWEEN(70,130)/100,0)</f>
        <v>0</v>
      </c>
    </row>
    <row r="708" spans="1:16" x14ac:dyDescent="0.3">
      <c r="A708" t="s">
        <v>1104</v>
      </c>
      <c r="B708" t="s">
        <v>757</v>
      </c>
      <c r="C708" t="s">
        <v>123</v>
      </c>
      <c r="D708" t="s">
        <v>18</v>
      </c>
      <c r="E708" s="1">
        <v>45886</v>
      </c>
      <c r="F708">
        <v>50949.35</v>
      </c>
      <c r="G708">
        <v>11.72</v>
      </c>
      <c r="H708">
        <v>36</v>
      </c>
      <c r="I708" t="s">
        <v>14</v>
      </c>
      <c r="J708">
        <v>20380</v>
      </c>
      <c r="K708">
        <f t="shared" ca="1" si="66"/>
        <v>15</v>
      </c>
      <c r="L708">
        <f t="shared" ca="1" si="67"/>
        <v>0</v>
      </c>
      <c r="M708" t="str">
        <f t="shared" ca="1" si="68"/>
        <v>Low</v>
      </c>
      <c r="N708">
        <f t="shared" ca="1" si="69"/>
        <v>0.36</v>
      </c>
      <c r="O708">
        <f t="shared" ca="1" si="70"/>
        <v>0</v>
      </c>
      <c r="P708">
        <f t="shared" ca="1" si="71"/>
        <v>0</v>
      </c>
    </row>
    <row r="709" spans="1:16" x14ac:dyDescent="0.3">
      <c r="A709" t="s">
        <v>1105</v>
      </c>
      <c r="B709" t="s">
        <v>140</v>
      </c>
      <c r="C709" t="s">
        <v>54</v>
      </c>
      <c r="D709" t="s">
        <v>26</v>
      </c>
      <c r="E709" s="1">
        <v>45331</v>
      </c>
      <c r="F709">
        <v>68293.539999999994</v>
      </c>
      <c r="G709">
        <v>14.64</v>
      </c>
      <c r="H709">
        <v>72</v>
      </c>
      <c r="I709" t="s">
        <v>27</v>
      </c>
      <c r="J709">
        <v>0</v>
      </c>
      <c r="K709">
        <f t="shared" ca="1" si="66"/>
        <v>60</v>
      </c>
      <c r="L709">
        <f t="shared" ca="1" si="67"/>
        <v>0</v>
      </c>
      <c r="M709" t="str">
        <f t="shared" ca="1" si="68"/>
        <v>Medium</v>
      </c>
      <c r="N709">
        <f t="shared" ca="1" si="69"/>
        <v>7.2</v>
      </c>
      <c r="O709">
        <f t="shared" ca="1" si="70"/>
        <v>0</v>
      </c>
      <c r="P709">
        <f t="shared" ca="1" si="71"/>
        <v>64878.862999999998</v>
      </c>
    </row>
    <row r="710" spans="1:16" x14ac:dyDescent="0.3">
      <c r="A710" t="s">
        <v>1106</v>
      </c>
      <c r="B710" t="s">
        <v>646</v>
      </c>
      <c r="C710" t="s">
        <v>51</v>
      </c>
      <c r="D710" t="s">
        <v>26</v>
      </c>
      <c r="E710" s="1">
        <v>45664</v>
      </c>
      <c r="F710">
        <v>33696.949999999997</v>
      </c>
      <c r="G710">
        <v>18.53</v>
      </c>
      <c r="H710">
        <v>360</v>
      </c>
      <c r="I710" t="s">
        <v>27</v>
      </c>
      <c r="J710">
        <v>0</v>
      </c>
      <c r="K710">
        <f t="shared" ca="1" si="66"/>
        <v>0</v>
      </c>
      <c r="L710">
        <f t="shared" ca="1" si="67"/>
        <v>0</v>
      </c>
      <c r="M710" t="str">
        <f t="shared" ca="1" si="68"/>
        <v>Low</v>
      </c>
      <c r="N710">
        <f t="shared" ca="1" si="69"/>
        <v>3.6</v>
      </c>
      <c r="O710">
        <f t="shared" ca="1" si="70"/>
        <v>0</v>
      </c>
      <c r="P710">
        <f t="shared" ca="1" si="71"/>
        <v>29316.3465</v>
      </c>
    </row>
    <row r="711" spans="1:16" x14ac:dyDescent="0.3">
      <c r="A711" t="s">
        <v>1107</v>
      </c>
      <c r="B711" t="s">
        <v>1108</v>
      </c>
      <c r="C711" t="s">
        <v>33</v>
      </c>
      <c r="D711" t="s">
        <v>13</v>
      </c>
      <c r="E711" s="1">
        <v>45758</v>
      </c>
      <c r="F711">
        <v>20878.82</v>
      </c>
      <c r="G711">
        <v>17.23</v>
      </c>
      <c r="H711">
        <v>60</v>
      </c>
      <c r="I711" t="s">
        <v>14</v>
      </c>
      <c r="J711">
        <v>16494</v>
      </c>
      <c r="K711">
        <f t="shared" ca="1" si="66"/>
        <v>0</v>
      </c>
      <c r="L711">
        <f t="shared" ca="1" si="67"/>
        <v>0</v>
      </c>
      <c r="M711" t="str">
        <f t="shared" ca="1" si="68"/>
        <v>Low</v>
      </c>
      <c r="N711">
        <f t="shared" ca="1" si="69"/>
        <v>0.6</v>
      </c>
      <c r="O711">
        <f t="shared" ca="1" si="70"/>
        <v>0</v>
      </c>
      <c r="P711">
        <f t="shared" ca="1" si="71"/>
        <v>0</v>
      </c>
    </row>
    <row r="712" spans="1:16" x14ac:dyDescent="0.3">
      <c r="A712" t="s">
        <v>1109</v>
      </c>
      <c r="B712" t="s">
        <v>1110</v>
      </c>
      <c r="C712" t="s">
        <v>39</v>
      </c>
      <c r="D712" t="s">
        <v>30</v>
      </c>
      <c r="E712" s="1">
        <v>45520</v>
      </c>
      <c r="F712">
        <v>45652.639999999999</v>
      </c>
      <c r="G712">
        <v>14.8</v>
      </c>
      <c r="H712">
        <v>180</v>
      </c>
      <c r="I712" t="s">
        <v>14</v>
      </c>
      <c r="J712">
        <v>39718</v>
      </c>
      <c r="K712">
        <f t="shared" ca="1" si="66"/>
        <v>0</v>
      </c>
      <c r="L712">
        <f t="shared" ca="1" si="67"/>
        <v>0</v>
      </c>
      <c r="M712" t="str">
        <f t="shared" ca="1" si="68"/>
        <v>Low</v>
      </c>
      <c r="N712">
        <f t="shared" ca="1" si="69"/>
        <v>1.8</v>
      </c>
      <c r="O712">
        <f t="shared" ca="1" si="70"/>
        <v>0</v>
      </c>
      <c r="P712">
        <f t="shared" ca="1" si="71"/>
        <v>0</v>
      </c>
    </row>
    <row r="713" spans="1:16" x14ac:dyDescent="0.3">
      <c r="A713" t="s">
        <v>1111</v>
      </c>
      <c r="B713" t="s">
        <v>281</v>
      </c>
      <c r="C713" t="s">
        <v>36</v>
      </c>
      <c r="D713" t="s">
        <v>75</v>
      </c>
      <c r="E713" s="1">
        <v>45427</v>
      </c>
      <c r="F713">
        <v>20192.7</v>
      </c>
      <c r="G713">
        <v>6.85</v>
      </c>
      <c r="H713">
        <v>48</v>
      </c>
      <c r="I713" t="s">
        <v>19</v>
      </c>
      <c r="J713">
        <v>0</v>
      </c>
      <c r="K713">
        <f t="shared" ca="1" si="66"/>
        <v>0</v>
      </c>
      <c r="L713">
        <f t="shared" ca="1" si="67"/>
        <v>0</v>
      </c>
      <c r="M713" t="str">
        <f t="shared" ca="1" si="68"/>
        <v>Low</v>
      </c>
      <c r="N713">
        <f t="shared" ca="1" si="69"/>
        <v>0.48</v>
      </c>
      <c r="O713">
        <f t="shared" ca="1" si="70"/>
        <v>0</v>
      </c>
      <c r="P713">
        <f t="shared" ca="1" si="71"/>
        <v>23019.678000000004</v>
      </c>
    </row>
    <row r="714" spans="1:16" x14ac:dyDescent="0.3">
      <c r="A714" t="s">
        <v>1112</v>
      </c>
      <c r="B714" t="s">
        <v>730</v>
      </c>
      <c r="C714" t="s">
        <v>123</v>
      </c>
      <c r="D714" t="s">
        <v>13</v>
      </c>
      <c r="E714" s="1">
        <v>46062</v>
      </c>
      <c r="F714">
        <v>35192.32</v>
      </c>
      <c r="G714">
        <v>14.72</v>
      </c>
      <c r="H714">
        <v>36</v>
      </c>
      <c r="I714" t="s">
        <v>14</v>
      </c>
      <c r="J714">
        <v>31321</v>
      </c>
      <c r="K714">
        <f t="shared" ca="1" si="66"/>
        <v>0</v>
      </c>
      <c r="L714">
        <f t="shared" ca="1" si="67"/>
        <v>0</v>
      </c>
      <c r="M714" t="str">
        <f t="shared" ca="1" si="68"/>
        <v>Low</v>
      </c>
      <c r="N714">
        <f t="shared" ca="1" si="69"/>
        <v>0.36</v>
      </c>
      <c r="O714">
        <f t="shared" ca="1" si="70"/>
        <v>0</v>
      </c>
      <c r="P714">
        <f t="shared" ca="1" si="71"/>
        <v>0</v>
      </c>
    </row>
    <row r="715" spans="1:16" x14ac:dyDescent="0.3">
      <c r="A715" t="s">
        <v>1113</v>
      </c>
      <c r="B715" t="s">
        <v>1110</v>
      </c>
      <c r="C715" t="s">
        <v>33</v>
      </c>
      <c r="D715" t="s">
        <v>13</v>
      </c>
      <c r="E715" s="1">
        <v>45656</v>
      </c>
      <c r="F715">
        <v>45808.94</v>
      </c>
      <c r="G715">
        <v>6.02</v>
      </c>
      <c r="H715">
        <v>36</v>
      </c>
      <c r="I715" t="s">
        <v>27</v>
      </c>
      <c r="J715">
        <v>0</v>
      </c>
      <c r="K715">
        <f t="shared" ca="1" si="66"/>
        <v>45</v>
      </c>
      <c r="L715">
        <f t="shared" ca="1" si="67"/>
        <v>0</v>
      </c>
      <c r="M715" t="str">
        <f t="shared" ca="1" si="68"/>
        <v>Medium</v>
      </c>
      <c r="N715">
        <f t="shared" ca="1" si="69"/>
        <v>1.8</v>
      </c>
      <c r="O715">
        <f t="shared" ca="1" si="70"/>
        <v>0</v>
      </c>
      <c r="P715">
        <f t="shared" ca="1" si="71"/>
        <v>0</v>
      </c>
    </row>
    <row r="716" spans="1:16" x14ac:dyDescent="0.3">
      <c r="A716" t="s">
        <v>1114</v>
      </c>
      <c r="B716" t="s">
        <v>377</v>
      </c>
      <c r="C716" t="s">
        <v>70</v>
      </c>
      <c r="D716" t="s">
        <v>30</v>
      </c>
      <c r="E716" s="1">
        <v>45882</v>
      </c>
      <c r="F716">
        <v>66403.789999999994</v>
      </c>
      <c r="G716">
        <v>7.64</v>
      </c>
      <c r="H716">
        <v>72</v>
      </c>
      <c r="I716" t="s">
        <v>14</v>
      </c>
      <c r="J716">
        <v>31210</v>
      </c>
      <c r="K716">
        <f t="shared" ca="1" si="66"/>
        <v>45</v>
      </c>
      <c r="L716">
        <f t="shared" ca="1" si="67"/>
        <v>0</v>
      </c>
      <c r="M716" t="str">
        <f t="shared" ca="1" si="68"/>
        <v>Medium</v>
      </c>
      <c r="N716">
        <f t="shared" ca="1" si="69"/>
        <v>3.6</v>
      </c>
      <c r="O716">
        <f t="shared" ca="1" si="70"/>
        <v>0</v>
      </c>
      <c r="P716">
        <f t="shared" ca="1" si="71"/>
        <v>0</v>
      </c>
    </row>
    <row r="717" spans="1:16" x14ac:dyDescent="0.3">
      <c r="A717" t="s">
        <v>1115</v>
      </c>
      <c r="B717" t="s">
        <v>667</v>
      </c>
      <c r="C717" t="s">
        <v>39</v>
      </c>
      <c r="D717" t="s">
        <v>30</v>
      </c>
      <c r="E717" s="1">
        <v>45359</v>
      </c>
      <c r="F717">
        <v>39082.97</v>
      </c>
      <c r="G717">
        <v>9.89</v>
      </c>
      <c r="H717">
        <v>120</v>
      </c>
      <c r="I717" t="s">
        <v>14</v>
      </c>
      <c r="J717">
        <v>16024</v>
      </c>
      <c r="K717">
        <f t="shared" ca="1" si="66"/>
        <v>0</v>
      </c>
      <c r="L717">
        <f t="shared" ca="1" si="67"/>
        <v>0</v>
      </c>
      <c r="M717" t="str">
        <f t="shared" ca="1" si="68"/>
        <v>Low</v>
      </c>
      <c r="N717">
        <f t="shared" ca="1" si="69"/>
        <v>1.2</v>
      </c>
      <c r="O717">
        <f t="shared" ca="1" si="70"/>
        <v>0</v>
      </c>
      <c r="P717">
        <f t="shared" ca="1" si="71"/>
        <v>0</v>
      </c>
    </row>
    <row r="718" spans="1:16" x14ac:dyDescent="0.3">
      <c r="A718" t="s">
        <v>1116</v>
      </c>
      <c r="B718" t="s">
        <v>1117</v>
      </c>
      <c r="C718" t="s">
        <v>51</v>
      </c>
      <c r="D718" t="s">
        <v>75</v>
      </c>
      <c r="E718" s="1">
        <v>46102</v>
      </c>
      <c r="F718">
        <v>85210.16</v>
      </c>
      <c r="G718">
        <v>10.98</v>
      </c>
      <c r="H718">
        <v>36</v>
      </c>
      <c r="I718" t="s">
        <v>14</v>
      </c>
      <c r="J718">
        <v>34936</v>
      </c>
      <c r="K718">
        <f t="shared" ca="1" si="66"/>
        <v>0</v>
      </c>
      <c r="L718">
        <f t="shared" ca="1" si="67"/>
        <v>0</v>
      </c>
      <c r="M718" t="str">
        <f t="shared" ca="1" si="68"/>
        <v>Low</v>
      </c>
      <c r="N718">
        <f t="shared" ca="1" si="69"/>
        <v>0.36</v>
      </c>
      <c r="O718">
        <f t="shared" ca="1" si="70"/>
        <v>0</v>
      </c>
      <c r="P718">
        <f t="shared" ca="1" si="71"/>
        <v>82653.855200000005</v>
      </c>
    </row>
    <row r="719" spans="1:16" x14ac:dyDescent="0.3">
      <c r="A719" t="s">
        <v>1118</v>
      </c>
      <c r="B719" t="s">
        <v>96</v>
      </c>
      <c r="C719" t="s">
        <v>51</v>
      </c>
      <c r="D719" t="s">
        <v>18</v>
      </c>
      <c r="E719" s="1">
        <v>46047</v>
      </c>
      <c r="F719">
        <v>44795.14</v>
      </c>
      <c r="G719">
        <v>7.83</v>
      </c>
      <c r="H719">
        <v>240</v>
      </c>
      <c r="I719" t="s">
        <v>14</v>
      </c>
      <c r="J719">
        <v>21054</v>
      </c>
      <c r="K719">
        <f t="shared" ca="1" si="66"/>
        <v>120</v>
      </c>
      <c r="L719">
        <f t="shared" ca="1" si="67"/>
        <v>1</v>
      </c>
      <c r="M719" t="str">
        <f t="shared" ca="1" si="68"/>
        <v>High</v>
      </c>
      <c r="N719">
        <f t="shared" ca="1" si="69"/>
        <v>60</v>
      </c>
      <c r="O719">
        <f t="shared" ca="1" si="70"/>
        <v>69.599999999999994</v>
      </c>
      <c r="P719">
        <f t="shared" ca="1" si="71"/>
        <v>0</v>
      </c>
    </row>
    <row r="720" spans="1:16" x14ac:dyDescent="0.3">
      <c r="A720" t="s">
        <v>1119</v>
      </c>
      <c r="B720" t="s">
        <v>375</v>
      </c>
      <c r="C720" t="s">
        <v>36</v>
      </c>
      <c r="D720" t="s">
        <v>75</v>
      </c>
      <c r="E720" s="1">
        <v>45303</v>
      </c>
      <c r="F720">
        <v>3830.54</v>
      </c>
      <c r="G720">
        <v>17.649999999999999</v>
      </c>
      <c r="H720">
        <v>12</v>
      </c>
      <c r="I720" t="s">
        <v>14</v>
      </c>
      <c r="J720">
        <v>1609</v>
      </c>
      <c r="K720">
        <f t="shared" ca="1" si="66"/>
        <v>0</v>
      </c>
      <c r="L720">
        <f t="shared" ca="1" si="67"/>
        <v>0</v>
      </c>
      <c r="M720" t="str">
        <f t="shared" ca="1" si="68"/>
        <v>Low</v>
      </c>
      <c r="N720">
        <f t="shared" ca="1" si="69"/>
        <v>0.12</v>
      </c>
      <c r="O720">
        <f t="shared" ca="1" si="70"/>
        <v>0</v>
      </c>
      <c r="P720">
        <f t="shared" ca="1" si="71"/>
        <v>4098.6777999999995</v>
      </c>
    </row>
    <row r="721" spans="1:16" x14ac:dyDescent="0.3">
      <c r="A721" t="s">
        <v>1120</v>
      </c>
      <c r="B721" t="s">
        <v>438</v>
      </c>
      <c r="C721" t="s">
        <v>36</v>
      </c>
      <c r="D721" t="s">
        <v>22</v>
      </c>
      <c r="E721" s="1">
        <v>45972</v>
      </c>
      <c r="F721">
        <v>74077.02</v>
      </c>
      <c r="G721">
        <v>20.53</v>
      </c>
      <c r="H721">
        <v>24</v>
      </c>
      <c r="I721" t="s">
        <v>14</v>
      </c>
      <c r="J721">
        <v>39261</v>
      </c>
      <c r="K721">
        <f t="shared" ca="1" si="66"/>
        <v>120</v>
      </c>
      <c r="L721">
        <f t="shared" ca="1" si="67"/>
        <v>1</v>
      </c>
      <c r="M721" t="str">
        <f t="shared" ca="1" si="68"/>
        <v>High</v>
      </c>
      <c r="N721">
        <f t="shared" ca="1" si="69"/>
        <v>6</v>
      </c>
      <c r="O721">
        <f t="shared" ca="1" si="70"/>
        <v>5.04</v>
      </c>
      <c r="P721">
        <f t="shared" ca="1" si="71"/>
        <v>95559.355800000005</v>
      </c>
    </row>
    <row r="722" spans="1:16" x14ac:dyDescent="0.3">
      <c r="A722" t="s">
        <v>1121</v>
      </c>
      <c r="B722" t="s">
        <v>61</v>
      </c>
      <c r="C722" t="s">
        <v>39</v>
      </c>
      <c r="D722" t="s">
        <v>13</v>
      </c>
      <c r="E722" s="1">
        <v>46086</v>
      </c>
      <c r="F722">
        <v>26915.55</v>
      </c>
      <c r="G722">
        <v>19.899999999999999</v>
      </c>
      <c r="H722">
        <v>60</v>
      </c>
      <c r="I722" t="s">
        <v>27</v>
      </c>
      <c r="J722">
        <v>0</v>
      </c>
      <c r="K722">
        <f t="shared" ca="1" si="66"/>
        <v>30</v>
      </c>
      <c r="L722">
        <f t="shared" ca="1" si="67"/>
        <v>0</v>
      </c>
      <c r="M722" t="str">
        <f t="shared" ca="1" si="68"/>
        <v>Medium</v>
      </c>
      <c r="N722">
        <f t="shared" ca="1" si="69"/>
        <v>3</v>
      </c>
      <c r="O722">
        <f t="shared" ca="1" si="70"/>
        <v>0</v>
      </c>
      <c r="P722">
        <f t="shared" ca="1" si="71"/>
        <v>0</v>
      </c>
    </row>
    <row r="723" spans="1:16" x14ac:dyDescent="0.3">
      <c r="A723" t="s">
        <v>1122</v>
      </c>
      <c r="B723" t="s">
        <v>222</v>
      </c>
      <c r="C723" t="s">
        <v>70</v>
      </c>
      <c r="D723" t="s">
        <v>18</v>
      </c>
      <c r="E723" s="1">
        <v>45592</v>
      </c>
      <c r="F723">
        <v>6658.83</v>
      </c>
      <c r="G723">
        <v>10.94</v>
      </c>
      <c r="H723">
        <v>360</v>
      </c>
      <c r="I723" t="s">
        <v>14</v>
      </c>
      <c r="J723">
        <v>3929</v>
      </c>
      <c r="K723">
        <f t="shared" ca="1" si="66"/>
        <v>120</v>
      </c>
      <c r="L723">
        <f t="shared" ca="1" si="67"/>
        <v>1</v>
      </c>
      <c r="M723" t="str">
        <f t="shared" ca="1" si="68"/>
        <v>High</v>
      </c>
      <c r="N723">
        <f t="shared" ca="1" si="69"/>
        <v>90</v>
      </c>
      <c r="O723">
        <f t="shared" ca="1" si="70"/>
        <v>108</v>
      </c>
      <c r="P723">
        <f t="shared" ca="1" si="71"/>
        <v>0</v>
      </c>
    </row>
    <row r="724" spans="1:16" x14ac:dyDescent="0.3">
      <c r="A724" t="s">
        <v>1123</v>
      </c>
      <c r="B724" t="s">
        <v>67</v>
      </c>
      <c r="C724" t="s">
        <v>17</v>
      </c>
      <c r="D724" t="s">
        <v>22</v>
      </c>
      <c r="E724" s="1">
        <v>45829</v>
      </c>
      <c r="F724">
        <v>57284.49</v>
      </c>
      <c r="G724">
        <v>8.4</v>
      </c>
      <c r="H724">
        <v>24</v>
      </c>
      <c r="I724" t="s">
        <v>14</v>
      </c>
      <c r="J724">
        <v>45828</v>
      </c>
      <c r="K724">
        <f t="shared" ca="1" si="66"/>
        <v>0</v>
      </c>
      <c r="L724">
        <f t="shared" ca="1" si="67"/>
        <v>0</v>
      </c>
      <c r="M724" t="str">
        <f t="shared" ca="1" si="68"/>
        <v>Low</v>
      </c>
      <c r="N724">
        <f t="shared" ca="1" si="69"/>
        <v>0.24</v>
      </c>
      <c r="O724">
        <f t="shared" ca="1" si="70"/>
        <v>0</v>
      </c>
      <c r="P724">
        <f t="shared" ca="1" si="71"/>
        <v>49264.661399999997</v>
      </c>
    </row>
    <row r="725" spans="1:16" x14ac:dyDescent="0.3">
      <c r="A725" t="s">
        <v>1124</v>
      </c>
      <c r="B725" t="s">
        <v>112</v>
      </c>
      <c r="C725" t="s">
        <v>36</v>
      </c>
      <c r="D725" t="s">
        <v>26</v>
      </c>
      <c r="E725" s="1">
        <v>45850</v>
      </c>
      <c r="F725">
        <v>91749.14</v>
      </c>
      <c r="G725">
        <v>12.59</v>
      </c>
      <c r="H725">
        <v>24</v>
      </c>
      <c r="I725" t="s">
        <v>14</v>
      </c>
      <c r="J725">
        <v>82574</v>
      </c>
      <c r="K725">
        <f t="shared" ca="1" si="66"/>
        <v>0</v>
      </c>
      <c r="L725">
        <f t="shared" ca="1" si="67"/>
        <v>0</v>
      </c>
      <c r="M725" t="str">
        <f t="shared" ca="1" si="68"/>
        <v>Low</v>
      </c>
      <c r="N725">
        <f t="shared" ca="1" si="69"/>
        <v>0.24</v>
      </c>
      <c r="O725">
        <f t="shared" ca="1" si="70"/>
        <v>0</v>
      </c>
      <c r="P725">
        <f t="shared" ca="1" si="71"/>
        <v>65141.889400000007</v>
      </c>
    </row>
    <row r="726" spans="1:16" x14ac:dyDescent="0.3">
      <c r="A726" t="s">
        <v>1125</v>
      </c>
      <c r="B726" t="s">
        <v>648</v>
      </c>
      <c r="C726" t="s">
        <v>51</v>
      </c>
      <c r="D726" t="s">
        <v>75</v>
      </c>
      <c r="E726" s="1">
        <v>46183</v>
      </c>
      <c r="F726">
        <v>71111.899999999994</v>
      </c>
      <c r="G726">
        <v>20.89</v>
      </c>
      <c r="H726">
        <v>84</v>
      </c>
      <c r="I726" t="s">
        <v>19</v>
      </c>
      <c r="J726">
        <v>0</v>
      </c>
      <c r="K726">
        <f t="shared" ca="1" si="66"/>
        <v>0</v>
      </c>
      <c r="L726">
        <f t="shared" ca="1" si="67"/>
        <v>0</v>
      </c>
      <c r="M726" t="str">
        <f t="shared" ca="1" si="68"/>
        <v>Low</v>
      </c>
      <c r="N726">
        <f t="shared" ca="1" si="69"/>
        <v>0.84</v>
      </c>
      <c r="O726">
        <f t="shared" ca="1" si="70"/>
        <v>0</v>
      </c>
      <c r="P726">
        <f t="shared" ca="1" si="71"/>
        <v>91734.350999999995</v>
      </c>
    </row>
    <row r="727" spans="1:16" x14ac:dyDescent="0.3">
      <c r="A727" t="s">
        <v>1126</v>
      </c>
      <c r="B727" t="s">
        <v>659</v>
      </c>
      <c r="C727" t="s">
        <v>33</v>
      </c>
      <c r="D727" t="s">
        <v>22</v>
      </c>
      <c r="E727" s="1">
        <v>45378</v>
      </c>
      <c r="F727">
        <v>95229.09</v>
      </c>
      <c r="G727">
        <v>19.190000000000001</v>
      </c>
      <c r="H727">
        <v>240</v>
      </c>
      <c r="I727" t="s">
        <v>14</v>
      </c>
      <c r="J727">
        <v>82849</v>
      </c>
      <c r="K727">
        <f t="shared" ca="1" si="66"/>
        <v>60</v>
      </c>
      <c r="L727">
        <f t="shared" ca="1" si="67"/>
        <v>0</v>
      </c>
      <c r="M727" t="str">
        <f t="shared" ca="1" si="68"/>
        <v>Medium</v>
      </c>
      <c r="N727">
        <f t="shared" ca="1" si="69"/>
        <v>24</v>
      </c>
      <c r="O727">
        <f t="shared" ca="1" si="70"/>
        <v>0</v>
      </c>
      <c r="P727">
        <f t="shared" ca="1" si="71"/>
        <v>117131.7807</v>
      </c>
    </row>
    <row r="728" spans="1:16" x14ac:dyDescent="0.3">
      <c r="A728" t="s">
        <v>1127</v>
      </c>
      <c r="B728" t="s">
        <v>162</v>
      </c>
      <c r="C728" t="s">
        <v>36</v>
      </c>
      <c r="D728" t="s">
        <v>30</v>
      </c>
      <c r="E728" s="1">
        <v>46088</v>
      </c>
      <c r="F728">
        <v>64685.71</v>
      </c>
      <c r="G728">
        <v>6.77</v>
      </c>
      <c r="H728">
        <v>36</v>
      </c>
      <c r="I728" t="s">
        <v>14</v>
      </c>
      <c r="J728">
        <v>49808</v>
      </c>
      <c r="K728">
        <f t="shared" ca="1" si="66"/>
        <v>0</v>
      </c>
      <c r="L728">
        <f t="shared" ca="1" si="67"/>
        <v>0</v>
      </c>
      <c r="M728" t="str">
        <f t="shared" ca="1" si="68"/>
        <v>Low</v>
      </c>
      <c r="N728">
        <f t="shared" ca="1" si="69"/>
        <v>0.36</v>
      </c>
      <c r="O728">
        <f t="shared" ca="1" si="70"/>
        <v>0</v>
      </c>
      <c r="P728">
        <f t="shared" ca="1" si="71"/>
        <v>0</v>
      </c>
    </row>
    <row r="729" spans="1:16" x14ac:dyDescent="0.3">
      <c r="A729" t="s">
        <v>1128</v>
      </c>
      <c r="B729" t="s">
        <v>977</v>
      </c>
      <c r="C729" t="s">
        <v>17</v>
      </c>
      <c r="D729" t="s">
        <v>22</v>
      </c>
      <c r="E729" s="1">
        <v>46185</v>
      </c>
      <c r="F729">
        <v>37036.93</v>
      </c>
      <c r="G729">
        <v>11.34</v>
      </c>
      <c r="H729">
        <v>60</v>
      </c>
      <c r="I729" t="s">
        <v>14</v>
      </c>
      <c r="J729">
        <v>28889</v>
      </c>
      <c r="K729">
        <f t="shared" ca="1" si="66"/>
        <v>0</v>
      </c>
      <c r="L729">
        <f t="shared" ca="1" si="67"/>
        <v>0</v>
      </c>
      <c r="M729" t="str">
        <f t="shared" ca="1" si="68"/>
        <v>Low</v>
      </c>
      <c r="N729">
        <f t="shared" ca="1" si="69"/>
        <v>0.6</v>
      </c>
      <c r="O729">
        <f t="shared" ca="1" si="70"/>
        <v>0</v>
      </c>
      <c r="P729">
        <f t="shared" ca="1" si="71"/>
        <v>45555.423899999994</v>
      </c>
    </row>
    <row r="730" spans="1:16" x14ac:dyDescent="0.3">
      <c r="A730" t="s">
        <v>1129</v>
      </c>
      <c r="B730" t="s">
        <v>657</v>
      </c>
      <c r="C730" t="s">
        <v>123</v>
      </c>
      <c r="D730" t="s">
        <v>75</v>
      </c>
      <c r="E730" s="1">
        <v>45297</v>
      </c>
      <c r="F730">
        <v>80462.48</v>
      </c>
      <c r="G730">
        <v>12.44</v>
      </c>
      <c r="H730">
        <v>60</v>
      </c>
      <c r="I730" t="s">
        <v>14</v>
      </c>
      <c r="J730">
        <v>41036</v>
      </c>
      <c r="K730">
        <f t="shared" ca="1" si="66"/>
        <v>0</v>
      </c>
      <c r="L730">
        <f t="shared" ca="1" si="67"/>
        <v>0</v>
      </c>
      <c r="M730" t="str">
        <f t="shared" ca="1" si="68"/>
        <v>Low</v>
      </c>
      <c r="N730">
        <f t="shared" ca="1" si="69"/>
        <v>0.6</v>
      </c>
      <c r="O730">
        <f t="shared" ca="1" si="70"/>
        <v>0</v>
      </c>
      <c r="P730">
        <f t="shared" ca="1" si="71"/>
        <v>104601.224</v>
      </c>
    </row>
    <row r="731" spans="1:16" x14ac:dyDescent="0.3">
      <c r="A731" t="s">
        <v>1130</v>
      </c>
      <c r="B731" t="s">
        <v>608</v>
      </c>
      <c r="C731" t="s">
        <v>123</v>
      </c>
      <c r="D731" t="s">
        <v>26</v>
      </c>
      <c r="E731" s="1">
        <v>45560</v>
      </c>
      <c r="F731">
        <v>68462.67</v>
      </c>
      <c r="G731">
        <v>19.86</v>
      </c>
      <c r="H731">
        <v>120</v>
      </c>
      <c r="I731" t="s">
        <v>27</v>
      </c>
      <c r="J731">
        <v>0</v>
      </c>
      <c r="K731">
        <f t="shared" ca="1" si="66"/>
        <v>90</v>
      </c>
      <c r="L731">
        <f t="shared" ca="1" si="67"/>
        <v>1</v>
      </c>
      <c r="M731" t="str">
        <f t="shared" ca="1" si="68"/>
        <v>High</v>
      </c>
      <c r="N731">
        <f t="shared" ca="1" si="69"/>
        <v>30</v>
      </c>
      <c r="O731">
        <f t="shared" ca="1" si="70"/>
        <v>18</v>
      </c>
      <c r="P731">
        <f t="shared" ca="1" si="71"/>
        <v>79416.697199999995</v>
      </c>
    </row>
    <row r="732" spans="1:16" x14ac:dyDescent="0.3">
      <c r="A732" t="s">
        <v>1131</v>
      </c>
      <c r="B732" t="s">
        <v>959</v>
      </c>
      <c r="C732" t="s">
        <v>17</v>
      </c>
      <c r="D732" t="s">
        <v>13</v>
      </c>
      <c r="E732" s="1">
        <v>45400</v>
      </c>
      <c r="F732">
        <v>8993.9699999999993</v>
      </c>
      <c r="G732">
        <v>7.86</v>
      </c>
      <c r="H732">
        <v>240</v>
      </c>
      <c r="I732" t="s">
        <v>27</v>
      </c>
      <c r="J732">
        <v>0</v>
      </c>
      <c r="K732">
        <f t="shared" ca="1" si="66"/>
        <v>30</v>
      </c>
      <c r="L732">
        <f t="shared" ca="1" si="67"/>
        <v>0</v>
      </c>
      <c r="M732" t="str">
        <f t="shared" ca="1" si="68"/>
        <v>Medium</v>
      </c>
      <c r="N732">
        <f t="shared" ca="1" si="69"/>
        <v>12</v>
      </c>
      <c r="O732">
        <f t="shared" ca="1" si="70"/>
        <v>0</v>
      </c>
      <c r="P732">
        <f t="shared" ca="1" si="71"/>
        <v>0</v>
      </c>
    </row>
    <row r="733" spans="1:16" x14ac:dyDescent="0.3">
      <c r="A733" t="s">
        <v>1132</v>
      </c>
      <c r="B733" t="s">
        <v>1133</v>
      </c>
      <c r="C733" t="s">
        <v>123</v>
      </c>
      <c r="D733" t="s">
        <v>30</v>
      </c>
      <c r="E733" s="1">
        <v>45360</v>
      </c>
      <c r="F733">
        <v>59743</v>
      </c>
      <c r="G733">
        <v>9.2799999999999994</v>
      </c>
      <c r="H733">
        <v>360</v>
      </c>
      <c r="I733" t="s">
        <v>14</v>
      </c>
      <c r="J733">
        <v>26884</v>
      </c>
      <c r="K733">
        <f t="shared" ca="1" si="66"/>
        <v>15</v>
      </c>
      <c r="L733">
        <f t="shared" ca="1" si="67"/>
        <v>0</v>
      </c>
      <c r="M733" t="str">
        <f t="shared" ca="1" si="68"/>
        <v>Low</v>
      </c>
      <c r="N733">
        <f t="shared" ca="1" si="69"/>
        <v>3.6</v>
      </c>
      <c r="O733">
        <f t="shared" ca="1" si="70"/>
        <v>0</v>
      </c>
      <c r="P733">
        <f t="shared" ca="1" si="71"/>
        <v>0</v>
      </c>
    </row>
    <row r="734" spans="1:16" x14ac:dyDescent="0.3">
      <c r="A734" t="s">
        <v>1134</v>
      </c>
      <c r="B734" t="s">
        <v>900</v>
      </c>
      <c r="C734" t="s">
        <v>17</v>
      </c>
      <c r="D734" t="s">
        <v>13</v>
      </c>
      <c r="E734" s="1">
        <v>45882</v>
      </c>
      <c r="F734">
        <v>41577.42</v>
      </c>
      <c r="G734">
        <v>15.93</v>
      </c>
      <c r="H734">
        <v>72</v>
      </c>
      <c r="I734" t="s">
        <v>14</v>
      </c>
      <c r="J734">
        <v>28273</v>
      </c>
      <c r="K734">
        <f t="shared" ca="1" si="66"/>
        <v>0</v>
      </c>
      <c r="L734">
        <f t="shared" ca="1" si="67"/>
        <v>0</v>
      </c>
      <c r="M734" t="str">
        <f t="shared" ca="1" si="68"/>
        <v>Low</v>
      </c>
      <c r="N734">
        <f t="shared" ca="1" si="69"/>
        <v>0.72</v>
      </c>
      <c r="O734">
        <f t="shared" ca="1" si="70"/>
        <v>0</v>
      </c>
      <c r="P734">
        <f t="shared" ca="1" si="71"/>
        <v>0</v>
      </c>
    </row>
    <row r="735" spans="1:16" x14ac:dyDescent="0.3">
      <c r="A735" t="s">
        <v>1135</v>
      </c>
      <c r="B735" t="s">
        <v>1136</v>
      </c>
      <c r="C735" t="s">
        <v>39</v>
      </c>
      <c r="D735" t="s">
        <v>26</v>
      </c>
      <c r="E735" s="1">
        <v>45334</v>
      </c>
      <c r="F735">
        <v>38657.79</v>
      </c>
      <c r="G735">
        <v>21.21</v>
      </c>
      <c r="H735">
        <v>180</v>
      </c>
      <c r="I735" t="s">
        <v>14</v>
      </c>
      <c r="J735">
        <v>17783</v>
      </c>
      <c r="K735">
        <f t="shared" ca="1" si="66"/>
        <v>30</v>
      </c>
      <c r="L735">
        <f t="shared" ca="1" si="67"/>
        <v>0</v>
      </c>
      <c r="M735" t="str">
        <f t="shared" ca="1" si="68"/>
        <v>Medium</v>
      </c>
      <c r="N735">
        <f t="shared" ca="1" si="69"/>
        <v>9</v>
      </c>
      <c r="O735">
        <f t="shared" ca="1" si="70"/>
        <v>0</v>
      </c>
      <c r="P735">
        <f t="shared" ca="1" si="71"/>
        <v>49868.549100000004</v>
      </c>
    </row>
    <row r="736" spans="1:16" x14ac:dyDescent="0.3">
      <c r="A736" t="s">
        <v>1137</v>
      </c>
      <c r="B736" t="s">
        <v>1138</v>
      </c>
      <c r="C736" t="s">
        <v>25</v>
      </c>
      <c r="D736" t="s">
        <v>30</v>
      </c>
      <c r="E736" s="1">
        <v>45445</v>
      </c>
      <c r="F736">
        <v>45556.77</v>
      </c>
      <c r="G736">
        <v>15.75</v>
      </c>
      <c r="H736">
        <v>84</v>
      </c>
      <c r="I736" t="s">
        <v>14</v>
      </c>
      <c r="J736">
        <v>42368</v>
      </c>
      <c r="K736">
        <f t="shared" ca="1" si="66"/>
        <v>30</v>
      </c>
      <c r="L736">
        <f t="shared" ca="1" si="67"/>
        <v>0</v>
      </c>
      <c r="M736" t="str">
        <f t="shared" ca="1" si="68"/>
        <v>Medium</v>
      </c>
      <c r="N736">
        <f t="shared" ca="1" si="69"/>
        <v>4.2</v>
      </c>
      <c r="O736">
        <f t="shared" ca="1" si="70"/>
        <v>0</v>
      </c>
      <c r="P736">
        <f t="shared" ca="1" si="71"/>
        <v>0</v>
      </c>
    </row>
    <row r="737" spans="1:16" x14ac:dyDescent="0.3">
      <c r="A737" t="s">
        <v>1139</v>
      </c>
      <c r="B737" t="s">
        <v>216</v>
      </c>
      <c r="C737" t="s">
        <v>51</v>
      </c>
      <c r="D737" t="s">
        <v>22</v>
      </c>
      <c r="E737" s="1">
        <v>45616</v>
      </c>
      <c r="F737">
        <v>26814.59</v>
      </c>
      <c r="G737">
        <v>14.47</v>
      </c>
      <c r="H737">
        <v>84</v>
      </c>
      <c r="I737" t="s">
        <v>14</v>
      </c>
      <c r="J737">
        <v>21452</v>
      </c>
      <c r="K737">
        <f t="shared" ca="1" si="66"/>
        <v>0</v>
      </c>
      <c r="L737">
        <f t="shared" ca="1" si="67"/>
        <v>0</v>
      </c>
      <c r="M737" t="str">
        <f t="shared" ca="1" si="68"/>
        <v>Low</v>
      </c>
      <c r="N737">
        <f t="shared" ca="1" si="69"/>
        <v>0.84</v>
      </c>
      <c r="O737">
        <f t="shared" ca="1" si="70"/>
        <v>0</v>
      </c>
      <c r="P737">
        <f t="shared" ca="1" si="71"/>
        <v>32713.799800000001</v>
      </c>
    </row>
    <row r="738" spans="1:16" x14ac:dyDescent="0.3">
      <c r="A738" t="s">
        <v>1140</v>
      </c>
      <c r="B738" t="s">
        <v>576</v>
      </c>
      <c r="C738" t="s">
        <v>33</v>
      </c>
      <c r="D738" t="s">
        <v>22</v>
      </c>
      <c r="E738" s="1">
        <v>45497</v>
      </c>
      <c r="F738">
        <v>7019.18</v>
      </c>
      <c r="G738">
        <v>6.36</v>
      </c>
      <c r="H738">
        <v>24</v>
      </c>
      <c r="I738" t="s">
        <v>14</v>
      </c>
      <c r="J738">
        <v>6177</v>
      </c>
      <c r="K738">
        <f t="shared" ca="1" si="66"/>
        <v>0</v>
      </c>
      <c r="L738">
        <f t="shared" ca="1" si="67"/>
        <v>0</v>
      </c>
      <c r="M738" t="str">
        <f t="shared" ca="1" si="68"/>
        <v>Low</v>
      </c>
      <c r="N738">
        <f t="shared" ca="1" si="69"/>
        <v>0.24</v>
      </c>
      <c r="O738">
        <f t="shared" ca="1" si="70"/>
        <v>0</v>
      </c>
      <c r="P738">
        <f t="shared" ca="1" si="71"/>
        <v>5615.3440000000001</v>
      </c>
    </row>
    <row r="739" spans="1:16" x14ac:dyDescent="0.3">
      <c r="A739" t="s">
        <v>1141</v>
      </c>
      <c r="B739" t="s">
        <v>1142</v>
      </c>
      <c r="C739" t="s">
        <v>54</v>
      </c>
      <c r="D739" t="s">
        <v>75</v>
      </c>
      <c r="E739" s="1">
        <v>45327</v>
      </c>
      <c r="F739">
        <v>59197.86</v>
      </c>
      <c r="G739">
        <v>16.12</v>
      </c>
      <c r="H739">
        <v>180</v>
      </c>
      <c r="I739" t="s">
        <v>14</v>
      </c>
      <c r="J739">
        <v>37887</v>
      </c>
      <c r="K739">
        <f t="shared" ca="1" si="66"/>
        <v>45</v>
      </c>
      <c r="L739">
        <f t="shared" ca="1" si="67"/>
        <v>0</v>
      </c>
      <c r="M739" t="str">
        <f t="shared" ca="1" si="68"/>
        <v>Medium</v>
      </c>
      <c r="N739">
        <f t="shared" ca="1" si="69"/>
        <v>9</v>
      </c>
      <c r="O739">
        <f t="shared" ca="1" si="70"/>
        <v>0</v>
      </c>
      <c r="P739">
        <f t="shared" ca="1" si="71"/>
        <v>70445.453399999999</v>
      </c>
    </row>
    <row r="740" spans="1:16" x14ac:dyDescent="0.3">
      <c r="A740" t="s">
        <v>1143</v>
      </c>
      <c r="B740" t="s">
        <v>240</v>
      </c>
      <c r="C740" t="s">
        <v>12</v>
      </c>
      <c r="D740" t="s">
        <v>22</v>
      </c>
      <c r="E740" s="1">
        <v>46111</v>
      </c>
      <c r="F740">
        <v>94191.35</v>
      </c>
      <c r="G740">
        <v>15.12</v>
      </c>
      <c r="H740">
        <v>72</v>
      </c>
      <c r="I740" t="s">
        <v>14</v>
      </c>
      <c r="J740">
        <v>83830</v>
      </c>
      <c r="K740">
        <f t="shared" ca="1" si="66"/>
        <v>0</v>
      </c>
      <c r="L740">
        <f t="shared" ca="1" si="67"/>
        <v>0</v>
      </c>
      <c r="M740" t="str">
        <f t="shared" ca="1" si="68"/>
        <v>Low</v>
      </c>
      <c r="N740">
        <f t="shared" ca="1" si="69"/>
        <v>0.72</v>
      </c>
      <c r="O740">
        <f t="shared" ca="1" si="70"/>
        <v>0</v>
      </c>
      <c r="P740">
        <f t="shared" ca="1" si="71"/>
        <v>68759.685500000007</v>
      </c>
    </row>
    <row r="741" spans="1:16" x14ac:dyDescent="0.3">
      <c r="A741" t="s">
        <v>1144</v>
      </c>
      <c r="B741" t="s">
        <v>436</v>
      </c>
      <c r="C741" t="s">
        <v>123</v>
      </c>
      <c r="D741" t="s">
        <v>75</v>
      </c>
      <c r="E741" s="1">
        <v>45548</v>
      </c>
      <c r="F741">
        <v>62035.57</v>
      </c>
      <c r="G741">
        <v>17.82</v>
      </c>
      <c r="H741">
        <v>180</v>
      </c>
      <c r="I741" t="s">
        <v>19</v>
      </c>
      <c r="J741">
        <v>0</v>
      </c>
      <c r="K741">
        <f t="shared" ca="1" si="66"/>
        <v>0</v>
      </c>
      <c r="L741">
        <f t="shared" ca="1" si="67"/>
        <v>0</v>
      </c>
      <c r="M741" t="str">
        <f t="shared" ca="1" si="68"/>
        <v>Low</v>
      </c>
      <c r="N741">
        <f t="shared" ca="1" si="69"/>
        <v>1.8</v>
      </c>
      <c r="O741">
        <f t="shared" ca="1" si="70"/>
        <v>0</v>
      </c>
      <c r="P741">
        <f t="shared" ca="1" si="71"/>
        <v>57072.724400000006</v>
      </c>
    </row>
    <row r="742" spans="1:16" x14ac:dyDescent="0.3">
      <c r="A742" t="s">
        <v>1145</v>
      </c>
      <c r="B742" t="s">
        <v>476</v>
      </c>
      <c r="C742" t="s">
        <v>70</v>
      </c>
      <c r="D742" t="s">
        <v>75</v>
      </c>
      <c r="E742" s="1">
        <v>45905</v>
      </c>
      <c r="F742">
        <v>40019.339999999997</v>
      </c>
      <c r="G742">
        <v>8.2200000000000006</v>
      </c>
      <c r="H742">
        <v>84</v>
      </c>
      <c r="I742" t="s">
        <v>19</v>
      </c>
      <c r="J742">
        <v>0</v>
      </c>
      <c r="K742">
        <f t="shared" ca="1" si="66"/>
        <v>0</v>
      </c>
      <c r="L742">
        <f t="shared" ca="1" si="67"/>
        <v>0</v>
      </c>
      <c r="M742" t="str">
        <f t="shared" ca="1" si="68"/>
        <v>Low</v>
      </c>
      <c r="N742">
        <f t="shared" ca="1" si="69"/>
        <v>0.84</v>
      </c>
      <c r="O742">
        <f t="shared" ca="1" si="70"/>
        <v>0</v>
      </c>
      <c r="P742">
        <f t="shared" ca="1" si="71"/>
        <v>45221.854200000002</v>
      </c>
    </row>
    <row r="743" spans="1:16" x14ac:dyDescent="0.3">
      <c r="A743" t="s">
        <v>1146</v>
      </c>
      <c r="B743" t="s">
        <v>1147</v>
      </c>
      <c r="C743" t="s">
        <v>36</v>
      </c>
      <c r="D743" t="s">
        <v>26</v>
      </c>
      <c r="E743" s="1">
        <v>46154</v>
      </c>
      <c r="F743">
        <v>74861.490000000005</v>
      </c>
      <c r="G743">
        <v>8.43</v>
      </c>
      <c r="H743">
        <v>84</v>
      </c>
      <c r="I743" t="s">
        <v>27</v>
      </c>
      <c r="J743">
        <v>0</v>
      </c>
      <c r="K743">
        <f t="shared" ca="1" si="66"/>
        <v>30</v>
      </c>
      <c r="L743">
        <f t="shared" ca="1" si="67"/>
        <v>0</v>
      </c>
      <c r="M743" t="str">
        <f t="shared" ca="1" si="68"/>
        <v>Medium</v>
      </c>
      <c r="N743">
        <f t="shared" ca="1" si="69"/>
        <v>4.2</v>
      </c>
      <c r="O743">
        <f t="shared" ca="1" si="70"/>
        <v>0</v>
      </c>
      <c r="P743">
        <f t="shared" ca="1" si="71"/>
        <v>65878.111199999999</v>
      </c>
    </row>
    <row r="744" spans="1:16" x14ac:dyDescent="0.3">
      <c r="A744" t="s">
        <v>1148</v>
      </c>
      <c r="B744" t="s">
        <v>752</v>
      </c>
      <c r="C744" t="s">
        <v>51</v>
      </c>
      <c r="D744" t="s">
        <v>26</v>
      </c>
      <c r="E744" s="1">
        <v>46101</v>
      </c>
      <c r="F744">
        <v>81606.28</v>
      </c>
      <c r="G744">
        <v>19.399999999999999</v>
      </c>
      <c r="H744">
        <v>84</v>
      </c>
      <c r="I744" t="s">
        <v>27</v>
      </c>
      <c r="J744">
        <v>0</v>
      </c>
      <c r="K744">
        <f t="shared" ca="1" si="66"/>
        <v>0</v>
      </c>
      <c r="L744">
        <f t="shared" ca="1" si="67"/>
        <v>0</v>
      </c>
      <c r="M744" t="str">
        <f t="shared" ca="1" si="68"/>
        <v>Low</v>
      </c>
      <c r="N744">
        <f t="shared" ca="1" si="69"/>
        <v>0.84</v>
      </c>
      <c r="O744">
        <f t="shared" ca="1" si="70"/>
        <v>0</v>
      </c>
      <c r="P744">
        <f t="shared" ca="1" si="71"/>
        <v>97111.473200000008</v>
      </c>
    </row>
    <row r="745" spans="1:16" x14ac:dyDescent="0.3">
      <c r="A745" t="s">
        <v>1149</v>
      </c>
      <c r="B745" t="s">
        <v>669</v>
      </c>
      <c r="C745" t="s">
        <v>25</v>
      </c>
      <c r="D745" t="s">
        <v>18</v>
      </c>
      <c r="E745" s="1">
        <v>45712</v>
      </c>
      <c r="F745">
        <v>35136.1</v>
      </c>
      <c r="G745">
        <v>12.52</v>
      </c>
      <c r="H745">
        <v>48</v>
      </c>
      <c r="I745" t="s">
        <v>14</v>
      </c>
      <c r="J745">
        <v>27406</v>
      </c>
      <c r="K745">
        <f t="shared" ca="1" si="66"/>
        <v>0</v>
      </c>
      <c r="L745">
        <f t="shared" ca="1" si="67"/>
        <v>0</v>
      </c>
      <c r="M745" t="str">
        <f t="shared" ca="1" si="68"/>
        <v>Low</v>
      </c>
      <c r="N745">
        <f t="shared" ca="1" si="69"/>
        <v>0.48</v>
      </c>
      <c r="O745">
        <f t="shared" ca="1" si="70"/>
        <v>0</v>
      </c>
      <c r="P745">
        <f t="shared" ca="1" si="71"/>
        <v>0</v>
      </c>
    </row>
    <row r="746" spans="1:16" x14ac:dyDescent="0.3">
      <c r="A746" t="s">
        <v>1150</v>
      </c>
      <c r="B746" t="s">
        <v>508</v>
      </c>
      <c r="C746" t="s">
        <v>123</v>
      </c>
      <c r="D746" t="s">
        <v>30</v>
      </c>
      <c r="E746" s="1">
        <v>45394</v>
      </c>
      <c r="F746">
        <v>99195.12</v>
      </c>
      <c r="G746">
        <v>17.41</v>
      </c>
      <c r="H746">
        <v>36</v>
      </c>
      <c r="I746" t="s">
        <v>27</v>
      </c>
      <c r="J746">
        <v>0</v>
      </c>
      <c r="K746">
        <f t="shared" ca="1" si="66"/>
        <v>45</v>
      </c>
      <c r="L746">
        <f t="shared" ca="1" si="67"/>
        <v>0</v>
      </c>
      <c r="M746" t="str">
        <f t="shared" ca="1" si="68"/>
        <v>Medium</v>
      </c>
      <c r="N746">
        <f t="shared" ca="1" si="69"/>
        <v>1.8</v>
      </c>
      <c r="O746">
        <f t="shared" ca="1" si="70"/>
        <v>0</v>
      </c>
      <c r="P746">
        <f t="shared" ca="1" si="71"/>
        <v>0</v>
      </c>
    </row>
    <row r="747" spans="1:16" x14ac:dyDescent="0.3">
      <c r="A747" t="s">
        <v>1151</v>
      </c>
      <c r="B747" t="s">
        <v>510</v>
      </c>
      <c r="C747" t="s">
        <v>70</v>
      </c>
      <c r="D747" t="s">
        <v>30</v>
      </c>
      <c r="E747" s="1">
        <v>45303</v>
      </c>
      <c r="F747">
        <v>26099.64</v>
      </c>
      <c r="G747">
        <v>18.97</v>
      </c>
      <c r="H747">
        <v>12</v>
      </c>
      <c r="I747" t="s">
        <v>19</v>
      </c>
      <c r="J747">
        <v>0</v>
      </c>
      <c r="K747">
        <f t="shared" ca="1" si="66"/>
        <v>0</v>
      </c>
      <c r="L747">
        <f t="shared" ca="1" si="67"/>
        <v>0</v>
      </c>
      <c r="M747" t="str">
        <f t="shared" ca="1" si="68"/>
        <v>Low</v>
      </c>
      <c r="N747">
        <f t="shared" ca="1" si="69"/>
        <v>0.12</v>
      </c>
      <c r="O747">
        <f t="shared" ca="1" si="70"/>
        <v>0</v>
      </c>
      <c r="P747">
        <f t="shared" ca="1" si="71"/>
        <v>0</v>
      </c>
    </row>
    <row r="748" spans="1:16" x14ac:dyDescent="0.3">
      <c r="A748" t="s">
        <v>1152</v>
      </c>
      <c r="B748" t="s">
        <v>891</v>
      </c>
      <c r="C748" t="s">
        <v>33</v>
      </c>
      <c r="D748" t="s">
        <v>26</v>
      </c>
      <c r="E748" s="1">
        <v>45559</v>
      </c>
      <c r="F748">
        <v>39890.71</v>
      </c>
      <c r="G748">
        <v>17.329999999999998</v>
      </c>
      <c r="H748">
        <v>180</v>
      </c>
      <c r="I748" t="s">
        <v>14</v>
      </c>
      <c r="J748">
        <v>16754</v>
      </c>
      <c r="K748">
        <f t="shared" ca="1" si="66"/>
        <v>30</v>
      </c>
      <c r="L748">
        <f t="shared" ca="1" si="67"/>
        <v>0</v>
      </c>
      <c r="M748" t="str">
        <f t="shared" ca="1" si="68"/>
        <v>Medium</v>
      </c>
      <c r="N748">
        <f t="shared" ca="1" si="69"/>
        <v>9</v>
      </c>
      <c r="O748">
        <f t="shared" ca="1" si="70"/>
        <v>0</v>
      </c>
      <c r="P748">
        <f t="shared" ca="1" si="71"/>
        <v>46672.130700000002</v>
      </c>
    </row>
    <row r="749" spans="1:16" x14ac:dyDescent="0.3">
      <c r="A749" t="s">
        <v>1153</v>
      </c>
      <c r="B749" t="s">
        <v>546</v>
      </c>
      <c r="C749" t="s">
        <v>51</v>
      </c>
      <c r="D749" t="s">
        <v>18</v>
      </c>
      <c r="E749" s="1">
        <v>45614</v>
      </c>
      <c r="F749">
        <v>66436.240000000005</v>
      </c>
      <c r="G749">
        <v>7.2</v>
      </c>
      <c r="H749">
        <v>240</v>
      </c>
      <c r="I749" t="s">
        <v>14</v>
      </c>
      <c r="J749">
        <v>55806</v>
      </c>
      <c r="K749">
        <f t="shared" ca="1" si="66"/>
        <v>0</v>
      </c>
      <c r="L749">
        <f t="shared" ca="1" si="67"/>
        <v>0</v>
      </c>
      <c r="M749" t="str">
        <f t="shared" ca="1" si="68"/>
        <v>Low</v>
      </c>
      <c r="N749">
        <f t="shared" ca="1" si="69"/>
        <v>2.4</v>
      </c>
      <c r="O749">
        <f t="shared" ca="1" si="70"/>
        <v>0</v>
      </c>
      <c r="P749">
        <f t="shared" ca="1" si="71"/>
        <v>0</v>
      </c>
    </row>
    <row r="750" spans="1:16" x14ac:dyDescent="0.3">
      <c r="A750" t="s">
        <v>1154</v>
      </c>
      <c r="B750" t="s">
        <v>429</v>
      </c>
      <c r="C750" t="s">
        <v>70</v>
      </c>
      <c r="D750" t="s">
        <v>26</v>
      </c>
      <c r="E750" s="1">
        <v>45992</v>
      </c>
      <c r="F750">
        <v>23233.53</v>
      </c>
      <c r="G750">
        <v>11.99</v>
      </c>
      <c r="H750">
        <v>72</v>
      </c>
      <c r="I750" t="s">
        <v>27</v>
      </c>
      <c r="J750">
        <v>0</v>
      </c>
      <c r="K750">
        <f t="shared" ca="1" si="66"/>
        <v>0</v>
      </c>
      <c r="L750">
        <f t="shared" ca="1" si="67"/>
        <v>0</v>
      </c>
      <c r="M750" t="str">
        <f t="shared" ca="1" si="68"/>
        <v>Low</v>
      </c>
      <c r="N750">
        <f t="shared" ca="1" si="69"/>
        <v>0.72</v>
      </c>
      <c r="O750">
        <f t="shared" ca="1" si="70"/>
        <v>0</v>
      </c>
      <c r="P750">
        <f t="shared" ca="1" si="71"/>
        <v>24395.2065</v>
      </c>
    </row>
    <row r="751" spans="1:16" x14ac:dyDescent="0.3">
      <c r="A751" t="s">
        <v>1155</v>
      </c>
      <c r="B751" t="s">
        <v>1156</v>
      </c>
      <c r="C751" t="s">
        <v>39</v>
      </c>
      <c r="D751" t="s">
        <v>75</v>
      </c>
      <c r="E751" s="1">
        <v>45892</v>
      </c>
      <c r="F751">
        <v>43735.94</v>
      </c>
      <c r="G751">
        <v>20.62</v>
      </c>
      <c r="H751">
        <v>180</v>
      </c>
      <c r="I751" t="s">
        <v>27</v>
      </c>
      <c r="J751">
        <v>0</v>
      </c>
      <c r="K751">
        <f t="shared" ca="1" si="66"/>
        <v>0</v>
      </c>
      <c r="L751">
        <f t="shared" ca="1" si="67"/>
        <v>0</v>
      </c>
      <c r="M751" t="str">
        <f t="shared" ca="1" si="68"/>
        <v>Low</v>
      </c>
      <c r="N751">
        <f t="shared" ca="1" si="69"/>
        <v>1.8</v>
      </c>
      <c r="O751">
        <f t="shared" ca="1" si="70"/>
        <v>0</v>
      </c>
      <c r="P751">
        <f t="shared" ca="1" si="71"/>
        <v>35426.111400000002</v>
      </c>
    </row>
    <row r="752" spans="1:16" x14ac:dyDescent="0.3">
      <c r="A752" t="s">
        <v>1157</v>
      </c>
      <c r="B752" t="s">
        <v>436</v>
      </c>
      <c r="C752" t="s">
        <v>25</v>
      </c>
      <c r="D752" t="s">
        <v>30</v>
      </c>
      <c r="E752" s="1">
        <v>45541</v>
      </c>
      <c r="F752">
        <v>52018.83</v>
      </c>
      <c r="G752">
        <v>19.41</v>
      </c>
      <c r="H752">
        <v>48</v>
      </c>
      <c r="I752" t="s">
        <v>14</v>
      </c>
      <c r="J752">
        <v>36933</v>
      </c>
      <c r="K752">
        <f t="shared" ca="1" si="66"/>
        <v>0</v>
      </c>
      <c r="L752">
        <f t="shared" ca="1" si="67"/>
        <v>0</v>
      </c>
      <c r="M752" t="str">
        <f t="shared" ca="1" si="68"/>
        <v>Low</v>
      </c>
      <c r="N752">
        <f t="shared" ca="1" si="69"/>
        <v>0.48</v>
      </c>
      <c r="O752">
        <f t="shared" ca="1" si="70"/>
        <v>0</v>
      </c>
      <c r="P752">
        <f t="shared" ca="1" si="71"/>
        <v>0</v>
      </c>
    </row>
    <row r="753" spans="1:16" x14ac:dyDescent="0.3">
      <c r="A753" t="s">
        <v>1158</v>
      </c>
      <c r="B753" t="s">
        <v>1159</v>
      </c>
      <c r="C753" t="s">
        <v>17</v>
      </c>
      <c r="D753" t="s">
        <v>26</v>
      </c>
      <c r="E753" s="1">
        <v>46029</v>
      </c>
      <c r="F753">
        <v>10804.04</v>
      </c>
      <c r="G753">
        <v>9.15</v>
      </c>
      <c r="H753">
        <v>180</v>
      </c>
      <c r="I753" t="s">
        <v>14</v>
      </c>
      <c r="J753">
        <v>4106</v>
      </c>
      <c r="K753">
        <f t="shared" ca="1" si="66"/>
        <v>0</v>
      </c>
      <c r="L753">
        <f t="shared" ca="1" si="67"/>
        <v>0</v>
      </c>
      <c r="M753" t="str">
        <f t="shared" ca="1" si="68"/>
        <v>Low</v>
      </c>
      <c r="N753">
        <f t="shared" ca="1" si="69"/>
        <v>1.8</v>
      </c>
      <c r="O753">
        <f t="shared" ca="1" si="70"/>
        <v>0</v>
      </c>
      <c r="P753">
        <f t="shared" ca="1" si="71"/>
        <v>11776.403600000001</v>
      </c>
    </row>
    <row r="754" spans="1:16" x14ac:dyDescent="0.3">
      <c r="A754" t="s">
        <v>1160</v>
      </c>
      <c r="B754" t="s">
        <v>164</v>
      </c>
      <c r="C754" t="s">
        <v>70</v>
      </c>
      <c r="D754" t="s">
        <v>30</v>
      </c>
      <c r="E754" s="1">
        <v>45922</v>
      </c>
      <c r="F754">
        <v>90245.48</v>
      </c>
      <c r="G754">
        <v>14.49</v>
      </c>
      <c r="H754">
        <v>360</v>
      </c>
      <c r="I754" t="s">
        <v>14</v>
      </c>
      <c r="J754">
        <v>47830</v>
      </c>
      <c r="K754">
        <f t="shared" ca="1" si="66"/>
        <v>60</v>
      </c>
      <c r="L754">
        <f t="shared" ca="1" si="67"/>
        <v>0</v>
      </c>
      <c r="M754" t="str">
        <f t="shared" ca="1" si="68"/>
        <v>Medium</v>
      </c>
      <c r="N754">
        <f t="shared" ca="1" si="69"/>
        <v>36</v>
      </c>
      <c r="O754">
        <f t="shared" ca="1" si="70"/>
        <v>0</v>
      </c>
      <c r="P754">
        <f t="shared" ca="1" si="71"/>
        <v>0</v>
      </c>
    </row>
    <row r="755" spans="1:16" x14ac:dyDescent="0.3">
      <c r="A755" t="s">
        <v>1161</v>
      </c>
      <c r="B755" t="s">
        <v>414</v>
      </c>
      <c r="C755" t="s">
        <v>33</v>
      </c>
      <c r="D755" t="s">
        <v>75</v>
      </c>
      <c r="E755" s="1">
        <v>45897</v>
      </c>
      <c r="F755">
        <v>31945.15</v>
      </c>
      <c r="G755">
        <v>18.32</v>
      </c>
      <c r="H755">
        <v>84</v>
      </c>
      <c r="I755" t="s">
        <v>27</v>
      </c>
      <c r="J755">
        <v>0</v>
      </c>
      <c r="K755">
        <f t="shared" ca="1" si="66"/>
        <v>0</v>
      </c>
      <c r="L755">
        <f t="shared" ca="1" si="67"/>
        <v>0</v>
      </c>
      <c r="M755" t="str">
        <f t="shared" ca="1" si="68"/>
        <v>Low</v>
      </c>
      <c r="N755">
        <f t="shared" ca="1" si="69"/>
        <v>0.84</v>
      </c>
      <c r="O755">
        <f t="shared" ca="1" si="70"/>
        <v>0</v>
      </c>
      <c r="P755">
        <f t="shared" ca="1" si="71"/>
        <v>33222.955999999998</v>
      </c>
    </row>
    <row r="756" spans="1:16" x14ac:dyDescent="0.3">
      <c r="A756" t="s">
        <v>1162</v>
      </c>
      <c r="B756" t="s">
        <v>928</v>
      </c>
      <c r="C756" t="s">
        <v>17</v>
      </c>
      <c r="D756" t="s">
        <v>30</v>
      </c>
      <c r="E756" s="1">
        <v>45983</v>
      </c>
      <c r="F756">
        <v>58708.68</v>
      </c>
      <c r="G756">
        <v>6.14</v>
      </c>
      <c r="H756">
        <v>180</v>
      </c>
      <c r="I756" t="s">
        <v>14</v>
      </c>
      <c r="J756">
        <v>54012</v>
      </c>
      <c r="K756">
        <f t="shared" ca="1" si="66"/>
        <v>0</v>
      </c>
      <c r="L756">
        <f t="shared" ca="1" si="67"/>
        <v>0</v>
      </c>
      <c r="M756" t="str">
        <f t="shared" ca="1" si="68"/>
        <v>Low</v>
      </c>
      <c r="N756">
        <f t="shared" ca="1" si="69"/>
        <v>1.8</v>
      </c>
      <c r="O756">
        <f t="shared" ca="1" si="70"/>
        <v>0</v>
      </c>
      <c r="P756">
        <f t="shared" ca="1" si="71"/>
        <v>0</v>
      </c>
    </row>
    <row r="757" spans="1:16" x14ac:dyDescent="0.3">
      <c r="A757" t="s">
        <v>1163</v>
      </c>
      <c r="B757" t="s">
        <v>1164</v>
      </c>
      <c r="C757" t="s">
        <v>39</v>
      </c>
      <c r="D757" t="s">
        <v>26</v>
      </c>
      <c r="E757" s="1">
        <v>45344</v>
      </c>
      <c r="F757">
        <v>75826</v>
      </c>
      <c r="G757">
        <v>12.13</v>
      </c>
      <c r="H757">
        <v>120</v>
      </c>
      <c r="I757" t="s">
        <v>14</v>
      </c>
      <c r="J757">
        <v>39430</v>
      </c>
      <c r="K757">
        <f t="shared" ca="1" si="66"/>
        <v>0</v>
      </c>
      <c r="L757">
        <f t="shared" ca="1" si="67"/>
        <v>0</v>
      </c>
      <c r="M757" t="str">
        <f t="shared" ca="1" si="68"/>
        <v>Low</v>
      </c>
      <c r="N757">
        <f t="shared" ca="1" si="69"/>
        <v>1.2</v>
      </c>
      <c r="O757">
        <f t="shared" ca="1" si="70"/>
        <v>0</v>
      </c>
      <c r="P757">
        <f t="shared" ca="1" si="71"/>
        <v>90232.94</v>
      </c>
    </row>
    <row r="758" spans="1:16" x14ac:dyDescent="0.3">
      <c r="A758" t="s">
        <v>1165</v>
      </c>
      <c r="B758" t="s">
        <v>1147</v>
      </c>
      <c r="C758" t="s">
        <v>70</v>
      </c>
      <c r="D758" t="s">
        <v>18</v>
      </c>
      <c r="E758" s="1">
        <v>45325</v>
      </c>
      <c r="F758">
        <v>71583.73</v>
      </c>
      <c r="G758">
        <v>7.34</v>
      </c>
      <c r="H758">
        <v>36</v>
      </c>
      <c r="I758" t="s">
        <v>14</v>
      </c>
      <c r="J758">
        <v>28633</v>
      </c>
      <c r="K758">
        <f t="shared" ca="1" si="66"/>
        <v>90</v>
      </c>
      <c r="L758">
        <f t="shared" ca="1" si="67"/>
        <v>1</v>
      </c>
      <c r="M758" t="str">
        <f t="shared" ca="1" si="68"/>
        <v>High</v>
      </c>
      <c r="N758">
        <f t="shared" ca="1" si="69"/>
        <v>9</v>
      </c>
      <c r="O758">
        <f t="shared" ca="1" si="70"/>
        <v>5.4</v>
      </c>
      <c r="P758">
        <f t="shared" ca="1" si="71"/>
        <v>0</v>
      </c>
    </row>
    <row r="759" spans="1:16" x14ac:dyDescent="0.3">
      <c r="A759" t="s">
        <v>1166</v>
      </c>
      <c r="B759" t="s">
        <v>1167</v>
      </c>
      <c r="C759" t="s">
        <v>33</v>
      </c>
      <c r="D759" t="s">
        <v>26</v>
      </c>
      <c r="E759" s="1">
        <v>45632</v>
      </c>
      <c r="F759">
        <v>63049.3</v>
      </c>
      <c r="G759">
        <v>4.6399999999999997</v>
      </c>
      <c r="H759">
        <v>36</v>
      </c>
      <c r="I759" t="s">
        <v>14</v>
      </c>
      <c r="J759">
        <v>42243</v>
      </c>
      <c r="K759">
        <f t="shared" ca="1" si="66"/>
        <v>0</v>
      </c>
      <c r="L759">
        <f t="shared" ca="1" si="67"/>
        <v>0</v>
      </c>
      <c r="M759" t="str">
        <f t="shared" ca="1" si="68"/>
        <v>Low</v>
      </c>
      <c r="N759">
        <f t="shared" ca="1" si="69"/>
        <v>0.36</v>
      </c>
      <c r="O759">
        <f t="shared" ca="1" si="70"/>
        <v>0</v>
      </c>
      <c r="P759">
        <f t="shared" ca="1" si="71"/>
        <v>62418.807000000001</v>
      </c>
    </row>
    <row r="760" spans="1:16" x14ac:dyDescent="0.3">
      <c r="A760" t="s">
        <v>1168</v>
      </c>
      <c r="B760" t="s">
        <v>1169</v>
      </c>
      <c r="C760" t="s">
        <v>12</v>
      </c>
      <c r="D760" t="s">
        <v>13</v>
      </c>
      <c r="E760" s="1">
        <v>45627</v>
      </c>
      <c r="F760">
        <v>9614.0400000000009</v>
      </c>
      <c r="G760">
        <v>7.43</v>
      </c>
      <c r="H760">
        <v>84</v>
      </c>
      <c r="I760" t="s">
        <v>14</v>
      </c>
      <c r="J760">
        <v>4326</v>
      </c>
      <c r="K760">
        <f t="shared" ca="1" si="66"/>
        <v>0</v>
      </c>
      <c r="L760">
        <f t="shared" ca="1" si="67"/>
        <v>0</v>
      </c>
      <c r="M760" t="str">
        <f t="shared" ca="1" si="68"/>
        <v>Low</v>
      </c>
      <c r="N760">
        <f t="shared" ca="1" si="69"/>
        <v>0.84</v>
      </c>
      <c r="O760">
        <f t="shared" ca="1" si="70"/>
        <v>0</v>
      </c>
      <c r="P760">
        <f t="shared" ca="1" si="71"/>
        <v>0</v>
      </c>
    </row>
    <row r="761" spans="1:16" x14ac:dyDescent="0.3">
      <c r="A761" t="s">
        <v>1170</v>
      </c>
      <c r="B761" t="s">
        <v>381</v>
      </c>
      <c r="C761" t="s">
        <v>33</v>
      </c>
      <c r="D761" t="s">
        <v>75</v>
      </c>
      <c r="E761" s="1">
        <v>45467</v>
      </c>
      <c r="F761">
        <v>18607.689999999999</v>
      </c>
      <c r="G761">
        <v>13.96</v>
      </c>
      <c r="H761">
        <v>24</v>
      </c>
      <c r="I761" t="s">
        <v>14</v>
      </c>
      <c r="J761">
        <v>12467</v>
      </c>
      <c r="K761">
        <f t="shared" ca="1" si="66"/>
        <v>0</v>
      </c>
      <c r="L761">
        <f t="shared" ca="1" si="67"/>
        <v>0</v>
      </c>
      <c r="M761" t="str">
        <f t="shared" ca="1" si="68"/>
        <v>Low</v>
      </c>
      <c r="N761">
        <f t="shared" ca="1" si="69"/>
        <v>0.24</v>
      </c>
      <c r="O761">
        <f t="shared" ca="1" si="70"/>
        <v>0</v>
      </c>
      <c r="P761">
        <f t="shared" ca="1" si="71"/>
        <v>21770.997299999999</v>
      </c>
    </row>
    <row r="762" spans="1:16" x14ac:dyDescent="0.3">
      <c r="A762" t="s">
        <v>1171</v>
      </c>
      <c r="B762" t="s">
        <v>1172</v>
      </c>
      <c r="C762" t="s">
        <v>54</v>
      </c>
      <c r="D762" t="s">
        <v>26</v>
      </c>
      <c r="E762" s="1">
        <v>45296</v>
      </c>
      <c r="F762">
        <v>29249.19</v>
      </c>
      <c r="G762">
        <v>14.07</v>
      </c>
      <c r="H762">
        <v>180</v>
      </c>
      <c r="I762" t="s">
        <v>14</v>
      </c>
      <c r="J762">
        <v>27787</v>
      </c>
      <c r="K762">
        <f t="shared" ca="1" si="66"/>
        <v>0</v>
      </c>
      <c r="L762">
        <f t="shared" ca="1" si="67"/>
        <v>0</v>
      </c>
      <c r="M762" t="str">
        <f t="shared" ca="1" si="68"/>
        <v>Low</v>
      </c>
      <c r="N762">
        <f t="shared" ca="1" si="69"/>
        <v>1.8</v>
      </c>
      <c r="O762">
        <f t="shared" ca="1" si="70"/>
        <v>0</v>
      </c>
      <c r="P762">
        <f t="shared" ca="1" si="71"/>
        <v>26324.271000000001</v>
      </c>
    </row>
    <row r="763" spans="1:16" x14ac:dyDescent="0.3">
      <c r="A763" t="s">
        <v>1173</v>
      </c>
      <c r="B763" t="s">
        <v>244</v>
      </c>
      <c r="C763" t="s">
        <v>25</v>
      </c>
      <c r="D763" t="s">
        <v>26</v>
      </c>
      <c r="E763" s="1">
        <v>45322</v>
      </c>
      <c r="F763">
        <v>93811.5</v>
      </c>
      <c r="G763">
        <v>18.22</v>
      </c>
      <c r="H763">
        <v>180</v>
      </c>
      <c r="I763" t="s">
        <v>27</v>
      </c>
      <c r="J763">
        <v>0</v>
      </c>
      <c r="K763">
        <f t="shared" ca="1" si="66"/>
        <v>0</v>
      </c>
      <c r="L763">
        <f t="shared" ca="1" si="67"/>
        <v>0</v>
      </c>
      <c r="M763" t="str">
        <f t="shared" ca="1" si="68"/>
        <v>Low</v>
      </c>
      <c r="N763">
        <f t="shared" ca="1" si="69"/>
        <v>1.8</v>
      </c>
      <c r="O763">
        <f t="shared" ca="1" si="70"/>
        <v>0</v>
      </c>
      <c r="P763">
        <f t="shared" ca="1" si="71"/>
        <v>97563.96</v>
      </c>
    </row>
    <row r="764" spans="1:16" x14ac:dyDescent="0.3">
      <c r="A764" t="s">
        <v>1174</v>
      </c>
      <c r="B764" t="s">
        <v>474</v>
      </c>
      <c r="C764" t="s">
        <v>17</v>
      </c>
      <c r="D764" t="s">
        <v>18</v>
      </c>
      <c r="E764" s="1">
        <v>45925</v>
      </c>
      <c r="F764">
        <v>93764.86</v>
      </c>
      <c r="G764">
        <v>15.13</v>
      </c>
      <c r="H764">
        <v>180</v>
      </c>
      <c r="I764" t="s">
        <v>14</v>
      </c>
      <c r="J764">
        <v>67511</v>
      </c>
      <c r="K764">
        <f t="shared" ca="1" si="66"/>
        <v>45</v>
      </c>
      <c r="L764">
        <f t="shared" ca="1" si="67"/>
        <v>0</v>
      </c>
      <c r="M764" t="str">
        <f t="shared" ca="1" si="68"/>
        <v>Medium</v>
      </c>
      <c r="N764">
        <f t="shared" ca="1" si="69"/>
        <v>9</v>
      </c>
      <c r="O764">
        <f t="shared" ca="1" si="70"/>
        <v>0</v>
      </c>
      <c r="P764">
        <f t="shared" ca="1" si="71"/>
        <v>0</v>
      </c>
    </row>
    <row r="765" spans="1:16" x14ac:dyDescent="0.3">
      <c r="A765" t="s">
        <v>1175</v>
      </c>
      <c r="B765" t="s">
        <v>508</v>
      </c>
      <c r="C765" t="s">
        <v>17</v>
      </c>
      <c r="D765" t="s">
        <v>30</v>
      </c>
      <c r="E765" s="1">
        <v>46143</v>
      </c>
      <c r="F765">
        <v>85644.04</v>
      </c>
      <c r="G765">
        <v>8.94</v>
      </c>
      <c r="H765">
        <v>48</v>
      </c>
      <c r="I765" t="s">
        <v>14</v>
      </c>
      <c r="J765">
        <v>66802</v>
      </c>
      <c r="K765">
        <f t="shared" ca="1" si="66"/>
        <v>90</v>
      </c>
      <c r="L765">
        <f t="shared" ca="1" si="67"/>
        <v>1</v>
      </c>
      <c r="M765" t="str">
        <f t="shared" ca="1" si="68"/>
        <v>High</v>
      </c>
      <c r="N765">
        <f t="shared" ca="1" si="69"/>
        <v>12</v>
      </c>
      <c r="O765">
        <f t="shared" ca="1" si="70"/>
        <v>13.44</v>
      </c>
      <c r="P765">
        <f t="shared" ca="1" si="71"/>
        <v>0</v>
      </c>
    </row>
    <row r="766" spans="1:16" x14ac:dyDescent="0.3">
      <c r="A766" t="s">
        <v>1176</v>
      </c>
      <c r="B766" t="s">
        <v>298</v>
      </c>
      <c r="C766" t="s">
        <v>12</v>
      </c>
      <c r="D766" t="s">
        <v>75</v>
      </c>
      <c r="E766" s="1">
        <v>45303</v>
      </c>
      <c r="F766">
        <v>85465.42</v>
      </c>
      <c r="G766">
        <v>5.97</v>
      </c>
      <c r="H766">
        <v>12</v>
      </c>
      <c r="I766" t="s">
        <v>14</v>
      </c>
      <c r="J766">
        <v>37605</v>
      </c>
      <c r="K766">
        <f t="shared" ca="1" si="66"/>
        <v>60</v>
      </c>
      <c r="L766">
        <f t="shared" ca="1" si="67"/>
        <v>0</v>
      </c>
      <c r="M766" t="str">
        <f t="shared" ca="1" si="68"/>
        <v>Medium</v>
      </c>
      <c r="N766">
        <f t="shared" ca="1" si="69"/>
        <v>1.2000000000000002</v>
      </c>
      <c r="O766">
        <f t="shared" ca="1" si="70"/>
        <v>0</v>
      </c>
      <c r="P766">
        <f t="shared" ca="1" si="71"/>
        <v>89738.690999999992</v>
      </c>
    </row>
    <row r="767" spans="1:16" x14ac:dyDescent="0.3">
      <c r="A767" t="s">
        <v>1177</v>
      </c>
      <c r="B767" t="s">
        <v>338</v>
      </c>
      <c r="C767" t="s">
        <v>70</v>
      </c>
      <c r="D767" t="s">
        <v>30</v>
      </c>
      <c r="E767" s="1">
        <v>45751</v>
      </c>
      <c r="F767">
        <v>45607.5</v>
      </c>
      <c r="G767">
        <v>7.82</v>
      </c>
      <c r="H767">
        <v>60</v>
      </c>
      <c r="I767" t="s">
        <v>14</v>
      </c>
      <c r="J767">
        <v>34206</v>
      </c>
      <c r="K767">
        <f t="shared" ca="1" si="66"/>
        <v>60</v>
      </c>
      <c r="L767">
        <f t="shared" ca="1" si="67"/>
        <v>0</v>
      </c>
      <c r="M767" t="str">
        <f t="shared" ca="1" si="68"/>
        <v>Medium</v>
      </c>
      <c r="N767">
        <f t="shared" ca="1" si="69"/>
        <v>6</v>
      </c>
      <c r="O767">
        <f t="shared" ca="1" si="70"/>
        <v>0</v>
      </c>
      <c r="P767">
        <f t="shared" ca="1" si="71"/>
        <v>0</v>
      </c>
    </row>
    <row r="768" spans="1:16" x14ac:dyDescent="0.3">
      <c r="A768" t="s">
        <v>1178</v>
      </c>
      <c r="B768" t="s">
        <v>584</v>
      </c>
      <c r="C768" t="s">
        <v>51</v>
      </c>
      <c r="D768" t="s">
        <v>30</v>
      </c>
      <c r="E768" s="1">
        <v>45457</v>
      </c>
      <c r="F768">
        <v>67862.06</v>
      </c>
      <c r="G768">
        <v>5.89</v>
      </c>
      <c r="H768">
        <v>72</v>
      </c>
      <c r="I768" t="s">
        <v>14</v>
      </c>
      <c r="J768">
        <v>27823</v>
      </c>
      <c r="K768">
        <f t="shared" ca="1" si="66"/>
        <v>15</v>
      </c>
      <c r="L768">
        <f t="shared" ca="1" si="67"/>
        <v>0</v>
      </c>
      <c r="M768" t="str">
        <f t="shared" ca="1" si="68"/>
        <v>Low</v>
      </c>
      <c r="N768">
        <f t="shared" ca="1" si="69"/>
        <v>0.72</v>
      </c>
      <c r="O768">
        <f t="shared" ca="1" si="70"/>
        <v>0</v>
      </c>
      <c r="P768">
        <f t="shared" ca="1" si="71"/>
        <v>0</v>
      </c>
    </row>
    <row r="769" spans="1:16" x14ac:dyDescent="0.3">
      <c r="A769" t="s">
        <v>1179</v>
      </c>
      <c r="B769" t="s">
        <v>438</v>
      </c>
      <c r="C769" t="s">
        <v>25</v>
      </c>
      <c r="D769" t="s">
        <v>75</v>
      </c>
      <c r="E769" s="1">
        <v>45774</v>
      </c>
      <c r="F769">
        <v>73203.09</v>
      </c>
      <c r="G769">
        <v>4.13</v>
      </c>
      <c r="H769">
        <v>360</v>
      </c>
      <c r="I769" t="s">
        <v>14</v>
      </c>
      <c r="J769">
        <v>66615</v>
      </c>
      <c r="K769">
        <f t="shared" ca="1" si="66"/>
        <v>0</v>
      </c>
      <c r="L769">
        <f t="shared" ca="1" si="67"/>
        <v>0</v>
      </c>
      <c r="M769" t="str">
        <f t="shared" ca="1" si="68"/>
        <v>Low</v>
      </c>
      <c r="N769">
        <f t="shared" ca="1" si="69"/>
        <v>3.6</v>
      </c>
      <c r="O769">
        <f t="shared" ca="1" si="70"/>
        <v>0</v>
      </c>
      <c r="P769">
        <f t="shared" ca="1" si="71"/>
        <v>76131.213599999988</v>
      </c>
    </row>
    <row r="770" spans="1:16" x14ac:dyDescent="0.3">
      <c r="A770" t="s">
        <v>1180</v>
      </c>
      <c r="B770" t="s">
        <v>877</v>
      </c>
      <c r="C770" t="s">
        <v>12</v>
      </c>
      <c r="D770" t="s">
        <v>18</v>
      </c>
      <c r="E770" s="1">
        <v>45795</v>
      </c>
      <c r="F770">
        <v>40799.440000000002</v>
      </c>
      <c r="G770">
        <v>12.59</v>
      </c>
      <c r="H770">
        <v>12</v>
      </c>
      <c r="I770" t="s">
        <v>27</v>
      </c>
      <c r="J770">
        <v>0</v>
      </c>
      <c r="K770">
        <f t="shared" ca="1" si="66"/>
        <v>0</v>
      </c>
      <c r="L770">
        <f t="shared" ca="1" si="67"/>
        <v>0</v>
      </c>
      <c r="M770" t="str">
        <f t="shared" ca="1" si="68"/>
        <v>Low</v>
      </c>
      <c r="N770">
        <f t="shared" ca="1" si="69"/>
        <v>0.12</v>
      </c>
      <c r="O770">
        <f t="shared" ca="1" si="70"/>
        <v>0</v>
      </c>
      <c r="P770">
        <f t="shared" ca="1" si="71"/>
        <v>0</v>
      </c>
    </row>
    <row r="771" spans="1:16" x14ac:dyDescent="0.3">
      <c r="A771" t="s">
        <v>1181</v>
      </c>
      <c r="B771" t="s">
        <v>549</v>
      </c>
      <c r="C771" t="s">
        <v>123</v>
      </c>
      <c r="D771" t="s">
        <v>18</v>
      </c>
      <c r="E771" s="1">
        <v>45350</v>
      </c>
      <c r="F771">
        <v>53879.199999999997</v>
      </c>
      <c r="G771">
        <v>4.38</v>
      </c>
      <c r="H771">
        <v>180</v>
      </c>
      <c r="I771" t="s">
        <v>14</v>
      </c>
      <c r="J771">
        <v>48491</v>
      </c>
      <c r="K771">
        <f t="shared" ref="K771:K834" ca="1" si="72">IF(I771="Paid Off",0,CHOOSE(RANDBETWEEN(1,10),0,0,0,0,15,30,45,60,90,120))</f>
        <v>60</v>
      </c>
      <c r="L771">
        <f t="shared" ref="L771:L834" ca="1" si="73">IF(K771&gt;=90,1,0)</f>
        <v>0</v>
      </c>
      <c r="M771" t="str">
        <f t="shared" ref="M771:M834" ca="1" si="74">IF(K771&gt;=90,"High",IF(K771&gt;=30,"Medium","Low"))</f>
        <v>Medium</v>
      </c>
      <c r="N771">
        <f t="shared" ref="N771:N834" ca="1" si="75">IF(L771=1,H771*0.25,IF(K771&gt;=60,H771*0.1,IF(K771&gt;=30,H771*0.05,H771*0.01)))</f>
        <v>18</v>
      </c>
      <c r="O771">
        <f t="shared" ref="O771:O834" ca="1" si="76">IF(L771=1,H771*RANDBETWEEN(5,30)/100,0)</f>
        <v>0</v>
      </c>
      <c r="P771">
        <f t="shared" ref="P771:P834" ca="1" si="77">IF(OR(D771="P02",D771="P03",D771="P05"),F771*RANDBETWEEN(70,130)/100,0)</f>
        <v>0</v>
      </c>
    </row>
    <row r="772" spans="1:16" x14ac:dyDescent="0.3">
      <c r="A772" t="s">
        <v>1182</v>
      </c>
      <c r="B772" t="s">
        <v>198</v>
      </c>
      <c r="C772" t="s">
        <v>12</v>
      </c>
      <c r="D772" t="s">
        <v>22</v>
      </c>
      <c r="E772" s="1">
        <v>45456</v>
      </c>
      <c r="F772">
        <v>22192.16</v>
      </c>
      <c r="G772">
        <v>20.84</v>
      </c>
      <c r="H772">
        <v>60</v>
      </c>
      <c r="I772" t="s">
        <v>19</v>
      </c>
      <c r="J772">
        <v>0</v>
      </c>
      <c r="K772">
        <f t="shared" ca="1" si="72"/>
        <v>0</v>
      </c>
      <c r="L772">
        <f t="shared" ca="1" si="73"/>
        <v>0</v>
      </c>
      <c r="M772" t="str">
        <f t="shared" ca="1" si="74"/>
        <v>Low</v>
      </c>
      <c r="N772">
        <f t="shared" ca="1" si="75"/>
        <v>0.6</v>
      </c>
      <c r="O772">
        <f t="shared" ca="1" si="76"/>
        <v>0</v>
      </c>
      <c r="P772">
        <f t="shared" ca="1" si="77"/>
        <v>21748.316800000001</v>
      </c>
    </row>
    <row r="773" spans="1:16" x14ac:dyDescent="0.3">
      <c r="A773" t="s">
        <v>1183</v>
      </c>
      <c r="B773" t="s">
        <v>456</v>
      </c>
      <c r="C773" t="s">
        <v>51</v>
      </c>
      <c r="D773" t="s">
        <v>22</v>
      </c>
      <c r="E773" s="1">
        <v>46058</v>
      </c>
      <c r="F773">
        <v>77476.759999999995</v>
      </c>
      <c r="G773">
        <v>19.489999999999998</v>
      </c>
      <c r="H773">
        <v>72</v>
      </c>
      <c r="I773" t="s">
        <v>27</v>
      </c>
      <c r="J773">
        <v>0</v>
      </c>
      <c r="K773">
        <f t="shared" ca="1" si="72"/>
        <v>15</v>
      </c>
      <c r="L773">
        <f t="shared" ca="1" si="73"/>
        <v>0</v>
      </c>
      <c r="M773" t="str">
        <f t="shared" ca="1" si="74"/>
        <v>Low</v>
      </c>
      <c r="N773">
        <f t="shared" ca="1" si="75"/>
        <v>0.72</v>
      </c>
      <c r="O773">
        <f t="shared" ca="1" si="76"/>
        <v>0</v>
      </c>
      <c r="P773">
        <f t="shared" ca="1" si="77"/>
        <v>80575.830399999992</v>
      </c>
    </row>
    <row r="774" spans="1:16" x14ac:dyDescent="0.3">
      <c r="A774" t="s">
        <v>1184</v>
      </c>
      <c r="B774" t="s">
        <v>572</v>
      </c>
      <c r="C774" t="s">
        <v>25</v>
      </c>
      <c r="D774" t="s">
        <v>18</v>
      </c>
      <c r="E774" s="1">
        <v>46151</v>
      </c>
      <c r="F774">
        <v>22654</v>
      </c>
      <c r="G774">
        <v>21.85</v>
      </c>
      <c r="H774">
        <v>12</v>
      </c>
      <c r="I774" t="s">
        <v>27</v>
      </c>
      <c r="J774">
        <v>0</v>
      </c>
      <c r="K774">
        <f t="shared" ca="1" si="72"/>
        <v>0</v>
      </c>
      <c r="L774">
        <f t="shared" ca="1" si="73"/>
        <v>0</v>
      </c>
      <c r="M774" t="str">
        <f t="shared" ca="1" si="74"/>
        <v>Low</v>
      </c>
      <c r="N774">
        <f t="shared" ca="1" si="75"/>
        <v>0.12</v>
      </c>
      <c r="O774">
        <f t="shared" ca="1" si="76"/>
        <v>0</v>
      </c>
      <c r="P774">
        <f t="shared" ca="1" si="77"/>
        <v>0</v>
      </c>
    </row>
    <row r="775" spans="1:16" x14ac:dyDescent="0.3">
      <c r="A775" t="s">
        <v>1185</v>
      </c>
      <c r="B775" t="s">
        <v>1186</v>
      </c>
      <c r="C775" t="s">
        <v>36</v>
      </c>
      <c r="D775" t="s">
        <v>13</v>
      </c>
      <c r="E775" s="1">
        <v>45634</v>
      </c>
      <c r="F775">
        <v>42547.58</v>
      </c>
      <c r="G775">
        <v>18.13</v>
      </c>
      <c r="H775">
        <v>48</v>
      </c>
      <c r="I775" t="s">
        <v>14</v>
      </c>
      <c r="J775">
        <v>16594</v>
      </c>
      <c r="K775">
        <f t="shared" ca="1" si="72"/>
        <v>45</v>
      </c>
      <c r="L775">
        <f t="shared" ca="1" si="73"/>
        <v>0</v>
      </c>
      <c r="M775" t="str">
        <f t="shared" ca="1" si="74"/>
        <v>Medium</v>
      </c>
      <c r="N775">
        <f t="shared" ca="1" si="75"/>
        <v>2.4000000000000004</v>
      </c>
      <c r="O775">
        <f t="shared" ca="1" si="76"/>
        <v>0</v>
      </c>
      <c r="P775">
        <f t="shared" ca="1" si="77"/>
        <v>0</v>
      </c>
    </row>
    <row r="776" spans="1:16" x14ac:dyDescent="0.3">
      <c r="A776" t="s">
        <v>1187</v>
      </c>
      <c r="B776" t="s">
        <v>371</v>
      </c>
      <c r="C776" t="s">
        <v>70</v>
      </c>
      <c r="D776" t="s">
        <v>26</v>
      </c>
      <c r="E776" s="1">
        <v>45603</v>
      </c>
      <c r="F776">
        <v>79483.039999999994</v>
      </c>
      <c r="G776">
        <v>11.55</v>
      </c>
      <c r="H776">
        <v>120</v>
      </c>
      <c r="I776" t="s">
        <v>14</v>
      </c>
      <c r="J776">
        <v>65971</v>
      </c>
      <c r="K776">
        <f t="shared" ca="1" si="72"/>
        <v>0</v>
      </c>
      <c r="L776">
        <f t="shared" ca="1" si="73"/>
        <v>0</v>
      </c>
      <c r="M776" t="str">
        <f t="shared" ca="1" si="74"/>
        <v>Low</v>
      </c>
      <c r="N776">
        <f t="shared" ca="1" si="75"/>
        <v>1.2</v>
      </c>
      <c r="O776">
        <f t="shared" ca="1" si="76"/>
        <v>0</v>
      </c>
      <c r="P776">
        <f t="shared" ca="1" si="77"/>
        <v>81867.531199999998</v>
      </c>
    </row>
    <row r="777" spans="1:16" x14ac:dyDescent="0.3">
      <c r="A777" t="s">
        <v>1188</v>
      </c>
      <c r="B777" t="s">
        <v>1189</v>
      </c>
      <c r="C777" t="s">
        <v>36</v>
      </c>
      <c r="D777" t="s">
        <v>13</v>
      </c>
      <c r="E777" s="1">
        <v>45569</v>
      </c>
      <c r="F777">
        <v>70705.429999999993</v>
      </c>
      <c r="G777">
        <v>11.14</v>
      </c>
      <c r="H777">
        <v>360</v>
      </c>
      <c r="I777" t="s">
        <v>27</v>
      </c>
      <c r="J777">
        <v>0</v>
      </c>
      <c r="K777">
        <f t="shared" ca="1" si="72"/>
        <v>30</v>
      </c>
      <c r="L777">
        <f t="shared" ca="1" si="73"/>
        <v>0</v>
      </c>
      <c r="M777" t="str">
        <f t="shared" ca="1" si="74"/>
        <v>Medium</v>
      </c>
      <c r="N777">
        <f t="shared" ca="1" si="75"/>
        <v>18</v>
      </c>
      <c r="O777">
        <f t="shared" ca="1" si="76"/>
        <v>0</v>
      </c>
      <c r="P777">
        <f t="shared" ca="1" si="77"/>
        <v>0</v>
      </c>
    </row>
    <row r="778" spans="1:16" x14ac:dyDescent="0.3">
      <c r="A778" t="s">
        <v>1190</v>
      </c>
      <c r="B778" t="s">
        <v>646</v>
      </c>
      <c r="C778" t="s">
        <v>54</v>
      </c>
      <c r="D778" t="s">
        <v>22</v>
      </c>
      <c r="E778" s="1">
        <v>45989</v>
      </c>
      <c r="F778">
        <v>71207.02</v>
      </c>
      <c r="G778">
        <v>20.94</v>
      </c>
      <c r="H778">
        <v>48</v>
      </c>
      <c r="I778" t="s">
        <v>14</v>
      </c>
      <c r="J778">
        <v>54829</v>
      </c>
      <c r="K778">
        <f t="shared" ca="1" si="72"/>
        <v>0</v>
      </c>
      <c r="L778">
        <f t="shared" ca="1" si="73"/>
        <v>0</v>
      </c>
      <c r="M778" t="str">
        <f t="shared" ca="1" si="74"/>
        <v>Low</v>
      </c>
      <c r="N778">
        <f t="shared" ca="1" si="75"/>
        <v>0.48</v>
      </c>
      <c r="O778">
        <f t="shared" ca="1" si="76"/>
        <v>0</v>
      </c>
      <c r="P778">
        <f t="shared" ca="1" si="77"/>
        <v>84736.353800000012</v>
      </c>
    </row>
    <row r="779" spans="1:16" x14ac:dyDescent="0.3">
      <c r="A779" t="s">
        <v>1191</v>
      </c>
      <c r="B779" t="s">
        <v>218</v>
      </c>
      <c r="C779" t="s">
        <v>70</v>
      </c>
      <c r="D779" t="s">
        <v>26</v>
      </c>
      <c r="E779" s="1">
        <v>46067</v>
      </c>
      <c r="F779">
        <v>95132.92</v>
      </c>
      <c r="G779">
        <v>6.96</v>
      </c>
      <c r="H779">
        <v>120</v>
      </c>
      <c r="I779" t="s">
        <v>14</v>
      </c>
      <c r="J779">
        <v>44712</v>
      </c>
      <c r="K779">
        <f t="shared" ca="1" si="72"/>
        <v>60</v>
      </c>
      <c r="L779">
        <f t="shared" ca="1" si="73"/>
        <v>0</v>
      </c>
      <c r="M779" t="str">
        <f t="shared" ca="1" si="74"/>
        <v>Medium</v>
      </c>
      <c r="N779">
        <f t="shared" ca="1" si="75"/>
        <v>12</v>
      </c>
      <c r="O779">
        <f t="shared" ca="1" si="76"/>
        <v>0</v>
      </c>
      <c r="P779">
        <f t="shared" ca="1" si="77"/>
        <v>115110.83320000001</v>
      </c>
    </row>
    <row r="780" spans="1:16" x14ac:dyDescent="0.3">
      <c r="A780" t="s">
        <v>1192</v>
      </c>
      <c r="B780" t="s">
        <v>69</v>
      </c>
      <c r="C780" t="s">
        <v>33</v>
      </c>
      <c r="D780" t="s">
        <v>13</v>
      </c>
      <c r="E780" s="1">
        <v>45736</v>
      </c>
      <c r="F780">
        <v>66996.36</v>
      </c>
      <c r="G780">
        <v>17.62</v>
      </c>
      <c r="H780">
        <v>12</v>
      </c>
      <c r="I780" t="s">
        <v>27</v>
      </c>
      <c r="J780">
        <v>0</v>
      </c>
      <c r="K780">
        <f t="shared" ca="1" si="72"/>
        <v>0</v>
      </c>
      <c r="L780">
        <f t="shared" ca="1" si="73"/>
        <v>0</v>
      </c>
      <c r="M780" t="str">
        <f t="shared" ca="1" si="74"/>
        <v>Low</v>
      </c>
      <c r="N780">
        <f t="shared" ca="1" si="75"/>
        <v>0.12</v>
      </c>
      <c r="O780">
        <f t="shared" ca="1" si="76"/>
        <v>0</v>
      </c>
      <c r="P780">
        <f t="shared" ca="1" si="77"/>
        <v>0</v>
      </c>
    </row>
    <row r="781" spans="1:16" x14ac:dyDescent="0.3">
      <c r="A781" t="s">
        <v>1193</v>
      </c>
      <c r="B781" t="s">
        <v>432</v>
      </c>
      <c r="C781" t="s">
        <v>17</v>
      </c>
      <c r="D781" t="s">
        <v>75</v>
      </c>
      <c r="E781" s="1">
        <v>45366</v>
      </c>
      <c r="F781">
        <v>63813.8</v>
      </c>
      <c r="G781">
        <v>15.21</v>
      </c>
      <c r="H781">
        <v>84</v>
      </c>
      <c r="I781" t="s">
        <v>14</v>
      </c>
      <c r="J781">
        <v>56156</v>
      </c>
      <c r="K781">
        <f t="shared" ca="1" si="72"/>
        <v>0</v>
      </c>
      <c r="L781">
        <f t="shared" ca="1" si="73"/>
        <v>0</v>
      </c>
      <c r="M781" t="str">
        <f t="shared" ca="1" si="74"/>
        <v>Low</v>
      </c>
      <c r="N781">
        <f t="shared" ca="1" si="75"/>
        <v>0.84</v>
      </c>
      <c r="O781">
        <f t="shared" ca="1" si="76"/>
        <v>0</v>
      </c>
      <c r="P781">
        <f t="shared" ca="1" si="77"/>
        <v>81681.664000000004</v>
      </c>
    </row>
    <row r="782" spans="1:16" x14ac:dyDescent="0.3">
      <c r="A782" t="s">
        <v>1194</v>
      </c>
      <c r="B782" t="s">
        <v>683</v>
      </c>
      <c r="C782" t="s">
        <v>36</v>
      </c>
      <c r="D782" t="s">
        <v>22</v>
      </c>
      <c r="E782" s="1">
        <v>45690</v>
      </c>
      <c r="F782">
        <v>92946.22</v>
      </c>
      <c r="G782">
        <v>11.07</v>
      </c>
      <c r="H782">
        <v>60</v>
      </c>
      <c r="I782" t="s">
        <v>27</v>
      </c>
      <c r="J782">
        <v>0</v>
      </c>
      <c r="K782">
        <f t="shared" ca="1" si="72"/>
        <v>0</v>
      </c>
      <c r="L782">
        <f t="shared" ca="1" si="73"/>
        <v>0</v>
      </c>
      <c r="M782" t="str">
        <f t="shared" ca="1" si="74"/>
        <v>Low</v>
      </c>
      <c r="N782">
        <f t="shared" ca="1" si="75"/>
        <v>0.6</v>
      </c>
      <c r="O782">
        <f t="shared" ca="1" si="76"/>
        <v>0</v>
      </c>
      <c r="P782">
        <f t="shared" ca="1" si="77"/>
        <v>87369.446799999991</v>
      </c>
    </row>
    <row r="783" spans="1:16" x14ac:dyDescent="0.3">
      <c r="A783" t="s">
        <v>1195</v>
      </c>
      <c r="B783" t="s">
        <v>82</v>
      </c>
      <c r="C783" t="s">
        <v>17</v>
      </c>
      <c r="D783" t="s">
        <v>18</v>
      </c>
      <c r="E783" s="1">
        <v>46010</v>
      </c>
      <c r="F783">
        <v>40790.68</v>
      </c>
      <c r="G783">
        <v>17.28</v>
      </c>
      <c r="H783">
        <v>84</v>
      </c>
      <c r="I783" t="s">
        <v>19</v>
      </c>
      <c r="J783">
        <v>0</v>
      </c>
      <c r="K783">
        <f t="shared" ca="1" si="72"/>
        <v>0</v>
      </c>
      <c r="L783">
        <f t="shared" ca="1" si="73"/>
        <v>0</v>
      </c>
      <c r="M783" t="str">
        <f t="shared" ca="1" si="74"/>
        <v>Low</v>
      </c>
      <c r="N783">
        <f t="shared" ca="1" si="75"/>
        <v>0.84</v>
      </c>
      <c r="O783">
        <f t="shared" ca="1" si="76"/>
        <v>0</v>
      </c>
      <c r="P783">
        <f t="shared" ca="1" si="77"/>
        <v>0</v>
      </c>
    </row>
    <row r="784" spans="1:16" x14ac:dyDescent="0.3">
      <c r="A784" t="s">
        <v>1196</v>
      </c>
      <c r="B784" t="s">
        <v>494</v>
      </c>
      <c r="C784" t="s">
        <v>25</v>
      </c>
      <c r="D784" t="s">
        <v>13</v>
      </c>
      <c r="E784" s="1">
        <v>45615</v>
      </c>
      <c r="F784">
        <v>12490.05</v>
      </c>
      <c r="G784">
        <v>16.64</v>
      </c>
      <c r="H784">
        <v>24</v>
      </c>
      <c r="I784" t="s">
        <v>14</v>
      </c>
      <c r="J784">
        <v>5496</v>
      </c>
      <c r="K784">
        <f t="shared" ca="1" si="72"/>
        <v>60</v>
      </c>
      <c r="L784">
        <f t="shared" ca="1" si="73"/>
        <v>0</v>
      </c>
      <c r="M784" t="str">
        <f t="shared" ca="1" si="74"/>
        <v>Medium</v>
      </c>
      <c r="N784">
        <f t="shared" ca="1" si="75"/>
        <v>2.4000000000000004</v>
      </c>
      <c r="O784">
        <f t="shared" ca="1" si="76"/>
        <v>0</v>
      </c>
      <c r="P784">
        <f t="shared" ca="1" si="77"/>
        <v>0</v>
      </c>
    </row>
    <row r="785" spans="1:16" x14ac:dyDescent="0.3">
      <c r="A785" t="s">
        <v>1197</v>
      </c>
      <c r="B785" t="s">
        <v>1198</v>
      </c>
      <c r="C785" t="s">
        <v>33</v>
      </c>
      <c r="D785" t="s">
        <v>30</v>
      </c>
      <c r="E785" s="1">
        <v>45752</v>
      </c>
      <c r="F785">
        <v>63454.04</v>
      </c>
      <c r="G785">
        <v>21.87</v>
      </c>
      <c r="H785">
        <v>180</v>
      </c>
      <c r="I785" t="s">
        <v>14</v>
      </c>
      <c r="J785">
        <v>52667</v>
      </c>
      <c r="K785">
        <f t="shared" ca="1" si="72"/>
        <v>0</v>
      </c>
      <c r="L785">
        <f t="shared" ca="1" si="73"/>
        <v>0</v>
      </c>
      <c r="M785" t="str">
        <f t="shared" ca="1" si="74"/>
        <v>Low</v>
      </c>
      <c r="N785">
        <f t="shared" ca="1" si="75"/>
        <v>1.8</v>
      </c>
      <c r="O785">
        <f t="shared" ca="1" si="76"/>
        <v>0</v>
      </c>
      <c r="P785">
        <f t="shared" ca="1" si="77"/>
        <v>0</v>
      </c>
    </row>
    <row r="786" spans="1:16" x14ac:dyDescent="0.3">
      <c r="A786" t="s">
        <v>1199</v>
      </c>
      <c r="B786" t="s">
        <v>1200</v>
      </c>
      <c r="C786" t="s">
        <v>36</v>
      </c>
      <c r="D786" t="s">
        <v>75</v>
      </c>
      <c r="E786" s="1">
        <v>45871</v>
      </c>
      <c r="F786">
        <v>38608.46</v>
      </c>
      <c r="G786">
        <v>21.64</v>
      </c>
      <c r="H786">
        <v>240</v>
      </c>
      <c r="I786" t="s">
        <v>14</v>
      </c>
      <c r="J786">
        <v>30887</v>
      </c>
      <c r="K786">
        <f t="shared" ca="1" si="72"/>
        <v>30</v>
      </c>
      <c r="L786">
        <f t="shared" ca="1" si="73"/>
        <v>0</v>
      </c>
      <c r="M786" t="str">
        <f t="shared" ca="1" si="74"/>
        <v>Medium</v>
      </c>
      <c r="N786">
        <f t="shared" ca="1" si="75"/>
        <v>12</v>
      </c>
      <c r="O786">
        <f t="shared" ca="1" si="76"/>
        <v>0</v>
      </c>
      <c r="P786">
        <f t="shared" ca="1" si="77"/>
        <v>34747.614000000001</v>
      </c>
    </row>
    <row r="787" spans="1:16" x14ac:dyDescent="0.3">
      <c r="A787" t="s">
        <v>1201</v>
      </c>
      <c r="B787" t="s">
        <v>1202</v>
      </c>
      <c r="C787" t="s">
        <v>17</v>
      </c>
      <c r="D787" t="s">
        <v>26</v>
      </c>
      <c r="E787" s="1">
        <v>45699</v>
      </c>
      <c r="F787">
        <v>33176.910000000003</v>
      </c>
      <c r="G787">
        <v>21.95</v>
      </c>
      <c r="H787">
        <v>84</v>
      </c>
      <c r="I787" t="s">
        <v>14</v>
      </c>
      <c r="J787">
        <v>18247</v>
      </c>
      <c r="K787">
        <f t="shared" ca="1" si="72"/>
        <v>0</v>
      </c>
      <c r="L787">
        <f t="shared" ca="1" si="73"/>
        <v>0</v>
      </c>
      <c r="M787" t="str">
        <f t="shared" ca="1" si="74"/>
        <v>Low</v>
      </c>
      <c r="N787">
        <f t="shared" ca="1" si="75"/>
        <v>0.84</v>
      </c>
      <c r="O787">
        <f t="shared" ca="1" si="76"/>
        <v>0</v>
      </c>
      <c r="P787">
        <f t="shared" ca="1" si="77"/>
        <v>37489.908300000003</v>
      </c>
    </row>
    <row r="788" spans="1:16" x14ac:dyDescent="0.3">
      <c r="A788" t="s">
        <v>1203</v>
      </c>
      <c r="B788" t="s">
        <v>377</v>
      </c>
      <c r="C788" t="s">
        <v>36</v>
      </c>
      <c r="D788" t="s">
        <v>13</v>
      </c>
      <c r="E788" s="1">
        <v>45695</v>
      </c>
      <c r="F788">
        <v>45001.14</v>
      </c>
      <c r="G788">
        <v>8.4499999999999993</v>
      </c>
      <c r="H788">
        <v>120</v>
      </c>
      <c r="I788" t="s">
        <v>19</v>
      </c>
      <c r="J788">
        <v>0</v>
      </c>
      <c r="K788">
        <f t="shared" ca="1" si="72"/>
        <v>0</v>
      </c>
      <c r="L788">
        <f t="shared" ca="1" si="73"/>
        <v>0</v>
      </c>
      <c r="M788" t="str">
        <f t="shared" ca="1" si="74"/>
        <v>Low</v>
      </c>
      <c r="N788">
        <f t="shared" ca="1" si="75"/>
        <v>1.2</v>
      </c>
      <c r="O788">
        <f t="shared" ca="1" si="76"/>
        <v>0</v>
      </c>
      <c r="P788">
        <f t="shared" ca="1" si="77"/>
        <v>0</v>
      </c>
    </row>
    <row r="789" spans="1:16" x14ac:dyDescent="0.3">
      <c r="A789" t="s">
        <v>1204</v>
      </c>
      <c r="B789" t="s">
        <v>891</v>
      </c>
      <c r="C789" t="s">
        <v>54</v>
      </c>
      <c r="D789" t="s">
        <v>75</v>
      </c>
      <c r="E789" s="1">
        <v>45538</v>
      </c>
      <c r="F789">
        <v>4455.3</v>
      </c>
      <c r="G789">
        <v>15.23</v>
      </c>
      <c r="H789">
        <v>84</v>
      </c>
      <c r="I789" t="s">
        <v>14</v>
      </c>
      <c r="J789">
        <v>3030</v>
      </c>
      <c r="K789">
        <f t="shared" ca="1" si="72"/>
        <v>60</v>
      </c>
      <c r="L789">
        <f t="shared" ca="1" si="73"/>
        <v>0</v>
      </c>
      <c r="M789" t="str">
        <f t="shared" ca="1" si="74"/>
        <v>Medium</v>
      </c>
      <c r="N789">
        <f t="shared" ca="1" si="75"/>
        <v>8.4</v>
      </c>
      <c r="O789">
        <f t="shared" ca="1" si="76"/>
        <v>0</v>
      </c>
      <c r="P789">
        <f t="shared" ca="1" si="77"/>
        <v>3564.24</v>
      </c>
    </row>
    <row r="790" spans="1:16" x14ac:dyDescent="0.3">
      <c r="A790" t="s">
        <v>1205</v>
      </c>
      <c r="B790" t="s">
        <v>176</v>
      </c>
      <c r="C790" t="s">
        <v>54</v>
      </c>
      <c r="D790" t="s">
        <v>75</v>
      </c>
      <c r="E790" s="1">
        <v>45823</v>
      </c>
      <c r="F790">
        <v>79885.95</v>
      </c>
      <c r="G790">
        <v>13.36</v>
      </c>
      <c r="H790">
        <v>72</v>
      </c>
      <c r="I790" t="s">
        <v>14</v>
      </c>
      <c r="J790">
        <v>59914</v>
      </c>
      <c r="K790">
        <f t="shared" ca="1" si="72"/>
        <v>15</v>
      </c>
      <c r="L790">
        <f t="shared" ca="1" si="73"/>
        <v>0</v>
      </c>
      <c r="M790" t="str">
        <f t="shared" ca="1" si="74"/>
        <v>Low</v>
      </c>
      <c r="N790">
        <f t="shared" ca="1" si="75"/>
        <v>0.72</v>
      </c>
      <c r="O790">
        <f t="shared" ca="1" si="76"/>
        <v>0</v>
      </c>
      <c r="P790">
        <f t="shared" ca="1" si="77"/>
        <v>74293.933499999999</v>
      </c>
    </row>
    <row r="791" spans="1:16" x14ac:dyDescent="0.3">
      <c r="A791" t="s">
        <v>1206</v>
      </c>
      <c r="B791" t="s">
        <v>1110</v>
      </c>
      <c r="C791" t="s">
        <v>123</v>
      </c>
      <c r="D791" t="s">
        <v>18</v>
      </c>
      <c r="E791" s="1">
        <v>45624</v>
      </c>
      <c r="F791">
        <v>56740.09</v>
      </c>
      <c r="G791">
        <v>19.05</v>
      </c>
      <c r="H791">
        <v>48</v>
      </c>
      <c r="I791" t="s">
        <v>27</v>
      </c>
      <c r="J791">
        <v>0</v>
      </c>
      <c r="K791">
        <f t="shared" ca="1" si="72"/>
        <v>120</v>
      </c>
      <c r="L791">
        <f t="shared" ca="1" si="73"/>
        <v>1</v>
      </c>
      <c r="M791" t="str">
        <f t="shared" ca="1" si="74"/>
        <v>High</v>
      </c>
      <c r="N791">
        <f t="shared" ca="1" si="75"/>
        <v>12</v>
      </c>
      <c r="O791">
        <f t="shared" ca="1" si="76"/>
        <v>14.4</v>
      </c>
      <c r="P791">
        <f t="shared" ca="1" si="77"/>
        <v>0</v>
      </c>
    </row>
    <row r="792" spans="1:16" x14ac:dyDescent="0.3">
      <c r="A792" t="s">
        <v>1207</v>
      </c>
      <c r="B792" t="s">
        <v>768</v>
      </c>
      <c r="C792" t="s">
        <v>70</v>
      </c>
      <c r="D792" t="s">
        <v>30</v>
      </c>
      <c r="E792" s="1">
        <v>45947</v>
      </c>
      <c r="F792">
        <v>80837.039999999994</v>
      </c>
      <c r="G792">
        <v>7.14</v>
      </c>
      <c r="H792">
        <v>36</v>
      </c>
      <c r="I792" t="s">
        <v>14</v>
      </c>
      <c r="J792">
        <v>44460</v>
      </c>
      <c r="K792">
        <f t="shared" ca="1" si="72"/>
        <v>0</v>
      </c>
      <c r="L792">
        <f t="shared" ca="1" si="73"/>
        <v>0</v>
      </c>
      <c r="M792" t="str">
        <f t="shared" ca="1" si="74"/>
        <v>Low</v>
      </c>
      <c r="N792">
        <f t="shared" ca="1" si="75"/>
        <v>0.36</v>
      </c>
      <c r="O792">
        <f t="shared" ca="1" si="76"/>
        <v>0</v>
      </c>
      <c r="P792">
        <f t="shared" ca="1" si="77"/>
        <v>0</v>
      </c>
    </row>
    <row r="793" spans="1:16" x14ac:dyDescent="0.3">
      <c r="A793" t="s">
        <v>1208</v>
      </c>
      <c r="B793" t="s">
        <v>1209</v>
      </c>
      <c r="C793" t="s">
        <v>36</v>
      </c>
      <c r="D793" t="s">
        <v>22</v>
      </c>
      <c r="E793" s="1">
        <v>45496</v>
      </c>
      <c r="F793">
        <v>58425.760000000002</v>
      </c>
      <c r="G793">
        <v>10.86</v>
      </c>
      <c r="H793">
        <v>84</v>
      </c>
      <c r="I793" t="s">
        <v>27</v>
      </c>
      <c r="J793">
        <v>0</v>
      </c>
      <c r="K793">
        <f t="shared" ca="1" si="72"/>
        <v>60</v>
      </c>
      <c r="L793">
        <f t="shared" ca="1" si="73"/>
        <v>0</v>
      </c>
      <c r="M793" t="str">
        <f t="shared" ca="1" si="74"/>
        <v>Medium</v>
      </c>
      <c r="N793">
        <f t="shared" ca="1" si="75"/>
        <v>8.4</v>
      </c>
      <c r="O793">
        <f t="shared" ca="1" si="76"/>
        <v>0</v>
      </c>
      <c r="P793">
        <f t="shared" ca="1" si="77"/>
        <v>46156.350400000003</v>
      </c>
    </row>
    <row r="794" spans="1:16" x14ac:dyDescent="0.3">
      <c r="A794" t="s">
        <v>1210</v>
      </c>
      <c r="B794" t="s">
        <v>1211</v>
      </c>
      <c r="C794" t="s">
        <v>39</v>
      </c>
      <c r="D794" t="s">
        <v>22</v>
      </c>
      <c r="E794" s="1">
        <v>45588</v>
      </c>
      <c r="F794">
        <v>43037.33</v>
      </c>
      <c r="G794">
        <v>8.9</v>
      </c>
      <c r="H794">
        <v>24</v>
      </c>
      <c r="I794" t="s">
        <v>14</v>
      </c>
      <c r="J794">
        <v>33999</v>
      </c>
      <c r="K794">
        <f t="shared" ca="1" si="72"/>
        <v>0</v>
      </c>
      <c r="L794">
        <f t="shared" ca="1" si="73"/>
        <v>0</v>
      </c>
      <c r="M794" t="str">
        <f t="shared" ca="1" si="74"/>
        <v>Low</v>
      </c>
      <c r="N794">
        <f t="shared" ca="1" si="75"/>
        <v>0.24</v>
      </c>
      <c r="O794">
        <f t="shared" ca="1" si="76"/>
        <v>0</v>
      </c>
      <c r="P794">
        <f t="shared" ca="1" si="77"/>
        <v>43898.0766</v>
      </c>
    </row>
    <row r="795" spans="1:16" x14ac:dyDescent="0.3">
      <c r="A795" t="s">
        <v>1212</v>
      </c>
      <c r="B795" t="s">
        <v>546</v>
      </c>
      <c r="C795" t="s">
        <v>51</v>
      </c>
      <c r="D795" t="s">
        <v>26</v>
      </c>
      <c r="E795" s="1">
        <v>45809</v>
      </c>
      <c r="F795">
        <v>72996.94</v>
      </c>
      <c r="G795">
        <v>15.52</v>
      </c>
      <c r="H795">
        <v>84</v>
      </c>
      <c r="I795" t="s">
        <v>14</v>
      </c>
      <c r="J795">
        <v>65697</v>
      </c>
      <c r="K795">
        <f t="shared" ca="1" si="72"/>
        <v>15</v>
      </c>
      <c r="L795">
        <f t="shared" ca="1" si="73"/>
        <v>0</v>
      </c>
      <c r="M795" t="str">
        <f t="shared" ca="1" si="74"/>
        <v>Low</v>
      </c>
      <c r="N795">
        <f t="shared" ca="1" si="75"/>
        <v>0.84</v>
      </c>
      <c r="O795">
        <f t="shared" ca="1" si="76"/>
        <v>0</v>
      </c>
      <c r="P795">
        <f t="shared" ca="1" si="77"/>
        <v>83946.481</v>
      </c>
    </row>
    <row r="796" spans="1:16" x14ac:dyDescent="0.3">
      <c r="A796" t="s">
        <v>1213</v>
      </c>
      <c r="B796" t="s">
        <v>886</v>
      </c>
      <c r="C796" t="s">
        <v>33</v>
      </c>
      <c r="D796" t="s">
        <v>13</v>
      </c>
      <c r="E796" s="1">
        <v>46071</v>
      </c>
      <c r="F796">
        <v>97131.73</v>
      </c>
      <c r="G796">
        <v>7.82</v>
      </c>
      <c r="H796">
        <v>60</v>
      </c>
      <c r="I796" t="s">
        <v>14</v>
      </c>
      <c r="J796">
        <v>67021</v>
      </c>
      <c r="K796">
        <f t="shared" ca="1" si="72"/>
        <v>60</v>
      </c>
      <c r="L796">
        <f t="shared" ca="1" si="73"/>
        <v>0</v>
      </c>
      <c r="M796" t="str">
        <f t="shared" ca="1" si="74"/>
        <v>Medium</v>
      </c>
      <c r="N796">
        <f t="shared" ca="1" si="75"/>
        <v>6</v>
      </c>
      <c r="O796">
        <f t="shared" ca="1" si="76"/>
        <v>0</v>
      </c>
      <c r="P796">
        <f t="shared" ca="1" si="77"/>
        <v>0</v>
      </c>
    </row>
    <row r="797" spans="1:16" x14ac:dyDescent="0.3">
      <c r="A797" t="s">
        <v>1214</v>
      </c>
      <c r="B797" t="s">
        <v>273</v>
      </c>
      <c r="C797" t="s">
        <v>51</v>
      </c>
      <c r="D797" t="s">
        <v>22</v>
      </c>
      <c r="E797" s="1">
        <v>45369</v>
      </c>
      <c r="F797">
        <v>1267.1600000000001</v>
      </c>
      <c r="G797">
        <v>7.24</v>
      </c>
      <c r="H797">
        <v>72</v>
      </c>
      <c r="I797" t="s">
        <v>27</v>
      </c>
      <c r="J797">
        <v>0</v>
      </c>
      <c r="K797">
        <f t="shared" ca="1" si="72"/>
        <v>45</v>
      </c>
      <c r="L797">
        <f t="shared" ca="1" si="73"/>
        <v>0</v>
      </c>
      <c r="M797" t="str">
        <f t="shared" ca="1" si="74"/>
        <v>Medium</v>
      </c>
      <c r="N797">
        <f t="shared" ca="1" si="75"/>
        <v>3.6</v>
      </c>
      <c r="O797">
        <f t="shared" ca="1" si="76"/>
        <v>0</v>
      </c>
      <c r="P797">
        <f t="shared" ca="1" si="77"/>
        <v>1216.4736000000003</v>
      </c>
    </row>
    <row r="798" spans="1:16" x14ac:dyDescent="0.3">
      <c r="A798" t="s">
        <v>1215</v>
      </c>
      <c r="B798" t="s">
        <v>1009</v>
      </c>
      <c r="C798" t="s">
        <v>36</v>
      </c>
      <c r="D798" t="s">
        <v>75</v>
      </c>
      <c r="E798" s="1">
        <v>46031</v>
      </c>
      <c r="F798">
        <v>33668.730000000003</v>
      </c>
      <c r="G798">
        <v>19.600000000000001</v>
      </c>
      <c r="H798">
        <v>360</v>
      </c>
      <c r="I798" t="s">
        <v>14</v>
      </c>
      <c r="J798">
        <v>13804</v>
      </c>
      <c r="K798">
        <f t="shared" ca="1" si="72"/>
        <v>0</v>
      </c>
      <c r="L798">
        <f t="shared" ca="1" si="73"/>
        <v>0</v>
      </c>
      <c r="M798" t="str">
        <f t="shared" ca="1" si="74"/>
        <v>Low</v>
      </c>
      <c r="N798">
        <f t="shared" ca="1" si="75"/>
        <v>3.6</v>
      </c>
      <c r="O798">
        <f t="shared" ca="1" si="76"/>
        <v>0</v>
      </c>
      <c r="P798">
        <f t="shared" ca="1" si="77"/>
        <v>33668.730000000003</v>
      </c>
    </row>
    <row r="799" spans="1:16" x14ac:dyDescent="0.3">
      <c r="A799" t="s">
        <v>1216</v>
      </c>
      <c r="B799" t="s">
        <v>419</v>
      </c>
      <c r="C799" t="s">
        <v>70</v>
      </c>
      <c r="D799" t="s">
        <v>26</v>
      </c>
      <c r="E799" s="1">
        <v>45430</v>
      </c>
      <c r="F799">
        <v>15928.23</v>
      </c>
      <c r="G799">
        <v>21.46</v>
      </c>
      <c r="H799">
        <v>240</v>
      </c>
      <c r="I799" t="s">
        <v>14</v>
      </c>
      <c r="J799">
        <v>6690</v>
      </c>
      <c r="K799">
        <f t="shared" ca="1" si="72"/>
        <v>0</v>
      </c>
      <c r="L799">
        <f t="shared" ca="1" si="73"/>
        <v>0</v>
      </c>
      <c r="M799" t="str">
        <f t="shared" ca="1" si="74"/>
        <v>Low</v>
      </c>
      <c r="N799">
        <f t="shared" ca="1" si="75"/>
        <v>2.4</v>
      </c>
      <c r="O799">
        <f t="shared" ca="1" si="76"/>
        <v>0</v>
      </c>
      <c r="P799">
        <f t="shared" ca="1" si="77"/>
        <v>14335.406999999999</v>
      </c>
    </row>
    <row r="800" spans="1:16" x14ac:dyDescent="0.3">
      <c r="A800" t="s">
        <v>1217</v>
      </c>
      <c r="B800" t="s">
        <v>1218</v>
      </c>
      <c r="C800" t="s">
        <v>33</v>
      </c>
      <c r="D800" t="s">
        <v>75</v>
      </c>
      <c r="E800" s="1">
        <v>45787</v>
      </c>
      <c r="F800">
        <v>78164.12</v>
      </c>
      <c r="G800">
        <v>5.09</v>
      </c>
      <c r="H800">
        <v>180</v>
      </c>
      <c r="I800" t="s">
        <v>19</v>
      </c>
      <c r="J800">
        <v>0</v>
      </c>
      <c r="K800">
        <f t="shared" ca="1" si="72"/>
        <v>0</v>
      </c>
      <c r="L800">
        <f t="shared" ca="1" si="73"/>
        <v>0</v>
      </c>
      <c r="M800" t="str">
        <f t="shared" ca="1" si="74"/>
        <v>Low</v>
      </c>
      <c r="N800">
        <f t="shared" ca="1" si="75"/>
        <v>1.8</v>
      </c>
      <c r="O800">
        <f t="shared" ca="1" si="76"/>
        <v>0</v>
      </c>
      <c r="P800">
        <f t="shared" ca="1" si="77"/>
        <v>57059.8076</v>
      </c>
    </row>
    <row r="801" spans="1:16" x14ac:dyDescent="0.3">
      <c r="A801" t="s">
        <v>1219</v>
      </c>
      <c r="B801" t="s">
        <v>142</v>
      </c>
      <c r="C801" t="s">
        <v>54</v>
      </c>
      <c r="D801" t="s">
        <v>75</v>
      </c>
      <c r="E801" s="1">
        <v>45790</v>
      </c>
      <c r="F801">
        <v>77759.63</v>
      </c>
      <c r="G801">
        <v>6.69</v>
      </c>
      <c r="H801">
        <v>48</v>
      </c>
      <c r="I801" t="s">
        <v>14</v>
      </c>
      <c r="J801">
        <v>42768</v>
      </c>
      <c r="K801">
        <f t="shared" ca="1" si="72"/>
        <v>15</v>
      </c>
      <c r="L801">
        <f t="shared" ca="1" si="73"/>
        <v>0</v>
      </c>
      <c r="M801" t="str">
        <f t="shared" ca="1" si="74"/>
        <v>Low</v>
      </c>
      <c r="N801">
        <f t="shared" ca="1" si="75"/>
        <v>0.48</v>
      </c>
      <c r="O801">
        <f t="shared" ca="1" si="76"/>
        <v>0</v>
      </c>
      <c r="P801">
        <f t="shared" ca="1" si="77"/>
        <v>79314.822600000014</v>
      </c>
    </row>
    <row r="802" spans="1:16" x14ac:dyDescent="0.3">
      <c r="A802" t="s">
        <v>1220</v>
      </c>
      <c r="B802" t="s">
        <v>510</v>
      </c>
      <c r="C802" t="s">
        <v>51</v>
      </c>
      <c r="D802" t="s">
        <v>75</v>
      </c>
      <c r="E802" s="1">
        <v>45856</v>
      </c>
      <c r="F802">
        <v>89950.39</v>
      </c>
      <c r="G802">
        <v>14.55</v>
      </c>
      <c r="H802">
        <v>180</v>
      </c>
      <c r="I802" t="s">
        <v>27</v>
      </c>
      <c r="J802">
        <v>0</v>
      </c>
      <c r="K802">
        <f t="shared" ca="1" si="72"/>
        <v>0</v>
      </c>
      <c r="L802">
        <f t="shared" ca="1" si="73"/>
        <v>0</v>
      </c>
      <c r="M802" t="str">
        <f t="shared" ca="1" si="74"/>
        <v>Low</v>
      </c>
      <c r="N802">
        <f t="shared" ca="1" si="75"/>
        <v>1.8</v>
      </c>
      <c r="O802">
        <f t="shared" ca="1" si="76"/>
        <v>0</v>
      </c>
      <c r="P802">
        <f t="shared" ca="1" si="77"/>
        <v>90849.89390000001</v>
      </c>
    </row>
    <row r="803" spans="1:16" x14ac:dyDescent="0.3">
      <c r="A803" t="s">
        <v>1221</v>
      </c>
      <c r="B803" t="s">
        <v>328</v>
      </c>
      <c r="C803" t="s">
        <v>12</v>
      </c>
      <c r="D803" t="s">
        <v>18</v>
      </c>
      <c r="E803" s="1">
        <v>45667</v>
      </c>
      <c r="F803">
        <v>63856.68</v>
      </c>
      <c r="G803">
        <v>13.56</v>
      </c>
      <c r="H803">
        <v>24</v>
      </c>
      <c r="I803" t="s">
        <v>14</v>
      </c>
      <c r="J803">
        <v>46615</v>
      </c>
      <c r="K803">
        <f t="shared" ca="1" si="72"/>
        <v>0</v>
      </c>
      <c r="L803">
        <f t="shared" ca="1" si="73"/>
        <v>0</v>
      </c>
      <c r="M803" t="str">
        <f t="shared" ca="1" si="74"/>
        <v>Low</v>
      </c>
      <c r="N803">
        <f t="shared" ca="1" si="75"/>
        <v>0.24</v>
      </c>
      <c r="O803">
        <f t="shared" ca="1" si="76"/>
        <v>0</v>
      </c>
      <c r="P803">
        <f t="shared" ca="1" si="77"/>
        <v>0</v>
      </c>
    </row>
    <row r="804" spans="1:16" x14ac:dyDescent="0.3">
      <c r="A804" t="s">
        <v>1222</v>
      </c>
      <c r="B804" t="s">
        <v>302</v>
      </c>
      <c r="C804" t="s">
        <v>70</v>
      </c>
      <c r="D804" t="s">
        <v>26</v>
      </c>
      <c r="E804" s="1">
        <v>45627</v>
      </c>
      <c r="F804">
        <v>30482.06</v>
      </c>
      <c r="G804">
        <v>5.78</v>
      </c>
      <c r="H804">
        <v>72</v>
      </c>
      <c r="I804" t="s">
        <v>14</v>
      </c>
      <c r="J804">
        <v>16460</v>
      </c>
      <c r="K804">
        <f t="shared" ca="1" si="72"/>
        <v>60</v>
      </c>
      <c r="L804">
        <f t="shared" ca="1" si="73"/>
        <v>0</v>
      </c>
      <c r="M804" t="str">
        <f t="shared" ca="1" si="74"/>
        <v>Medium</v>
      </c>
      <c r="N804">
        <f t="shared" ca="1" si="75"/>
        <v>7.2</v>
      </c>
      <c r="O804">
        <f t="shared" ca="1" si="76"/>
        <v>0</v>
      </c>
      <c r="P804">
        <f t="shared" ca="1" si="77"/>
        <v>29262.777600000001</v>
      </c>
    </row>
    <row r="805" spans="1:16" x14ac:dyDescent="0.3">
      <c r="A805" t="s">
        <v>1223</v>
      </c>
      <c r="B805" t="s">
        <v>445</v>
      </c>
      <c r="C805" t="s">
        <v>17</v>
      </c>
      <c r="D805" t="s">
        <v>75</v>
      </c>
      <c r="E805" s="1">
        <v>45704</v>
      </c>
      <c r="F805">
        <v>97588.01</v>
      </c>
      <c r="G805">
        <v>7.93</v>
      </c>
      <c r="H805">
        <v>240</v>
      </c>
      <c r="I805" t="s">
        <v>14</v>
      </c>
      <c r="J805">
        <v>60505</v>
      </c>
      <c r="K805">
        <f t="shared" ca="1" si="72"/>
        <v>15</v>
      </c>
      <c r="L805">
        <f t="shared" ca="1" si="73"/>
        <v>0</v>
      </c>
      <c r="M805" t="str">
        <f t="shared" ca="1" si="74"/>
        <v>Low</v>
      </c>
      <c r="N805">
        <f t="shared" ca="1" si="75"/>
        <v>2.4</v>
      </c>
      <c r="O805">
        <f t="shared" ca="1" si="76"/>
        <v>0</v>
      </c>
      <c r="P805">
        <f t="shared" ca="1" si="77"/>
        <v>75142.767699999997</v>
      </c>
    </row>
    <row r="806" spans="1:16" x14ac:dyDescent="0.3">
      <c r="A806" t="s">
        <v>1224</v>
      </c>
      <c r="B806" t="s">
        <v>82</v>
      </c>
      <c r="C806" t="s">
        <v>39</v>
      </c>
      <c r="D806" t="s">
        <v>18</v>
      </c>
      <c r="E806" s="1">
        <v>46086</v>
      </c>
      <c r="F806">
        <v>32097.279999999999</v>
      </c>
      <c r="G806">
        <v>8.73</v>
      </c>
      <c r="H806">
        <v>84</v>
      </c>
      <c r="I806" t="s">
        <v>14</v>
      </c>
      <c r="J806">
        <v>20221</v>
      </c>
      <c r="K806">
        <f t="shared" ca="1" si="72"/>
        <v>120</v>
      </c>
      <c r="L806">
        <f t="shared" ca="1" si="73"/>
        <v>1</v>
      </c>
      <c r="M806" t="str">
        <f t="shared" ca="1" si="74"/>
        <v>High</v>
      </c>
      <c r="N806">
        <f t="shared" ca="1" si="75"/>
        <v>21</v>
      </c>
      <c r="O806">
        <f t="shared" ca="1" si="76"/>
        <v>13.44</v>
      </c>
      <c r="P806">
        <f t="shared" ca="1" si="77"/>
        <v>0</v>
      </c>
    </row>
    <row r="807" spans="1:16" x14ac:dyDescent="0.3">
      <c r="A807" t="s">
        <v>1225</v>
      </c>
      <c r="B807" t="s">
        <v>406</v>
      </c>
      <c r="C807" t="s">
        <v>25</v>
      </c>
      <c r="D807" t="s">
        <v>26</v>
      </c>
      <c r="E807" s="1">
        <v>45471</v>
      </c>
      <c r="F807">
        <v>96055.39</v>
      </c>
      <c r="G807">
        <v>9.4499999999999993</v>
      </c>
      <c r="H807">
        <v>24</v>
      </c>
      <c r="I807" t="s">
        <v>14</v>
      </c>
      <c r="J807">
        <v>51870</v>
      </c>
      <c r="K807">
        <f t="shared" ca="1" si="72"/>
        <v>0</v>
      </c>
      <c r="L807">
        <f t="shared" ca="1" si="73"/>
        <v>0</v>
      </c>
      <c r="M807" t="str">
        <f t="shared" ca="1" si="74"/>
        <v>Low</v>
      </c>
      <c r="N807">
        <f t="shared" ca="1" si="75"/>
        <v>0.24</v>
      </c>
      <c r="O807">
        <f t="shared" ca="1" si="76"/>
        <v>0</v>
      </c>
      <c r="P807">
        <f t="shared" ca="1" si="77"/>
        <v>118148.1297</v>
      </c>
    </row>
    <row r="808" spans="1:16" x14ac:dyDescent="0.3">
      <c r="A808" t="s">
        <v>1226</v>
      </c>
      <c r="B808" t="s">
        <v>533</v>
      </c>
      <c r="C808" t="s">
        <v>70</v>
      </c>
      <c r="D808" t="s">
        <v>30</v>
      </c>
      <c r="E808" s="1">
        <v>45914</v>
      </c>
      <c r="F808">
        <v>93967.76</v>
      </c>
      <c r="G808">
        <v>10.53</v>
      </c>
      <c r="H808">
        <v>24</v>
      </c>
      <c r="I808" t="s">
        <v>19</v>
      </c>
      <c r="J808">
        <v>0</v>
      </c>
      <c r="K808">
        <f t="shared" ca="1" si="72"/>
        <v>0</v>
      </c>
      <c r="L808">
        <f t="shared" ca="1" si="73"/>
        <v>0</v>
      </c>
      <c r="M808" t="str">
        <f t="shared" ca="1" si="74"/>
        <v>Low</v>
      </c>
      <c r="N808">
        <f t="shared" ca="1" si="75"/>
        <v>0.24</v>
      </c>
      <c r="O808">
        <f t="shared" ca="1" si="76"/>
        <v>0</v>
      </c>
      <c r="P808">
        <f t="shared" ca="1" si="77"/>
        <v>0</v>
      </c>
    </row>
    <row r="809" spans="1:16" x14ac:dyDescent="0.3">
      <c r="A809" t="s">
        <v>1227</v>
      </c>
      <c r="B809" t="s">
        <v>1228</v>
      </c>
      <c r="C809" t="s">
        <v>33</v>
      </c>
      <c r="D809" t="s">
        <v>13</v>
      </c>
      <c r="E809" s="1">
        <v>45832</v>
      </c>
      <c r="F809">
        <v>9807.85</v>
      </c>
      <c r="G809">
        <v>20.49</v>
      </c>
      <c r="H809">
        <v>24</v>
      </c>
      <c r="I809" t="s">
        <v>14</v>
      </c>
      <c r="J809">
        <v>5689</v>
      </c>
      <c r="K809">
        <f t="shared" ca="1" si="72"/>
        <v>90</v>
      </c>
      <c r="L809">
        <f t="shared" ca="1" si="73"/>
        <v>1</v>
      </c>
      <c r="M809" t="str">
        <f t="shared" ca="1" si="74"/>
        <v>High</v>
      </c>
      <c r="N809">
        <f t="shared" ca="1" si="75"/>
        <v>6</v>
      </c>
      <c r="O809">
        <f t="shared" ca="1" si="76"/>
        <v>5.28</v>
      </c>
      <c r="P809">
        <f t="shared" ca="1" si="77"/>
        <v>0</v>
      </c>
    </row>
    <row r="810" spans="1:16" x14ac:dyDescent="0.3">
      <c r="A810" t="s">
        <v>1229</v>
      </c>
      <c r="B810" t="s">
        <v>818</v>
      </c>
      <c r="C810" t="s">
        <v>33</v>
      </c>
      <c r="D810" t="s">
        <v>75</v>
      </c>
      <c r="E810" s="1">
        <v>46091</v>
      </c>
      <c r="F810">
        <v>93904.7</v>
      </c>
      <c r="G810">
        <v>14.66</v>
      </c>
      <c r="H810">
        <v>360</v>
      </c>
      <c r="I810" t="s">
        <v>14</v>
      </c>
      <c r="J810">
        <v>55404</v>
      </c>
      <c r="K810">
        <f t="shared" ca="1" si="72"/>
        <v>0</v>
      </c>
      <c r="L810">
        <f t="shared" ca="1" si="73"/>
        <v>0</v>
      </c>
      <c r="M810" t="str">
        <f t="shared" ca="1" si="74"/>
        <v>Low</v>
      </c>
      <c r="N810">
        <f t="shared" ca="1" si="75"/>
        <v>3.6</v>
      </c>
      <c r="O810">
        <f t="shared" ca="1" si="76"/>
        <v>0</v>
      </c>
      <c r="P810">
        <f t="shared" ca="1" si="77"/>
        <v>107051.35799999999</v>
      </c>
    </row>
    <row r="811" spans="1:16" x14ac:dyDescent="0.3">
      <c r="A811" t="s">
        <v>1230</v>
      </c>
      <c r="B811" t="s">
        <v>734</v>
      </c>
      <c r="C811" t="s">
        <v>70</v>
      </c>
      <c r="D811" t="s">
        <v>22</v>
      </c>
      <c r="E811" s="1">
        <v>45997</v>
      </c>
      <c r="F811">
        <v>4292.7299999999996</v>
      </c>
      <c r="G811">
        <v>18.86</v>
      </c>
      <c r="H811">
        <v>240</v>
      </c>
      <c r="I811" t="s">
        <v>14</v>
      </c>
      <c r="J811">
        <v>1760</v>
      </c>
      <c r="K811">
        <f t="shared" ca="1" si="72"/>
        <v>0</v>
      </c>
      <c r="L811">
        <f t="shared" ca="1" si="73"/>
        <v>0</v>
      </c>
      <c r="M811" t="str">
        <f t="shared" ca="1" si="74"/>
        <v>Low</v>
      </c>
      <c r="N811">
        <f t="shared" ca="1" si="75"/>
        <v>2.4</v>
      </c>
      <c r="O811">
        <f t="shared" ca="1" si="76"/>
        <v>0</v>
      </c>
      <c r="P811">
        <f t="shared" ca="1" si="77"/>
        <v>3219.5474999999992</v>
      </c>
    </row>
    <row r="812" spans="1:16" x14ac:dyDescent="0.3">
      <c r="A812" t="s">
        <v>1231</v>
      </c>
      <c r="B812" t="s">
        <v>526</v>
      </c>
      <c r="C812" t="s">
        <v>33</v>
      </c>
      <c r="D812" t="s">
        <v>26</v>
      </c>
      <c r="E812" s="1">
        <v>45855</v>
      </c>
      <c r="F812">
        <v>65172.67</v>
      </c>
      <c r="G812">
        <v>14.54</v>
      </c>
      <c r="H812">
        <v>72</v>
      </c>
      <c r="I812" t="s">
        <v>19</v>
      </c>
      <c r="J812">
        <v>0</v>
      </c>
      <c r="K812">
        <f t="shared" ca="1" si="72"/>
        <v>0</v>
      </c>
      <c r="L812">
        <f t="shared" ca="1" si="73"/>
        <v>0</v>
      </c>
      <c r="M812" t="str">
        <f t="shared" ca="1" si="74"/>
        <v>Low</v>
      </c>
      <c r="N812">
        <f t="shared" ca="1" si="75"/>
        <v>0.72</v>
      </c>
      <c r="O812">
        <f t="shared" ca="1" si="76"/>
        <v>0</v>
      </c>
      <c r="P812">
        <f t="shared" ca="1" si="77"/>
        <v>64520.943299999999</v>
      </c>
    </row>
    <row r="813" spans="1:16" x14ac:dyDescent="0.3">
      <c r="A813" t="s">
        <v>1232</v>
      </c>
      <c r="B813" t="s">
        <v>816</v>
      </c>
      <c r="C813" t="s">
        <v>70</v>
      </c>
      <c r="D813" t="s">
        <v>22</v>
      </c>
      <c r="E813" s="1">
        <v>45901</v>
      </c>
      <c r="F813">
        <v>22037.439999999999</v>
      </c>
      <c r="G813">
        <v>6.92</v>
      </c>
      <c r="H813">
        <v>360</v>
      </c>
      <c r="I813" t="s">
        <v>14</v>
      </c>
      <c r="J813">
        <v>8374</v>
      </c>
      <c r="K813">
        <f t="shared" ca="1" si="72"/>
        <v>0</v>
      </c>
      <c r="L813">
        <f t="shared" ca="1" si="73"/>
        <v>0</v>
      </c>
      <c r="M813" t="str">
        <f t="shared" ca="1" si="74"/>
        <v>Low</v>
      </c>
      <c r="N813">
        <f t="shared" ca="1" si="75"/>
        <v>3.6</v>
      </c>
      <c r="O813">
        <f t="shared" ca="1" si="76"/>
        <v>0</v>
      </c>
      <c r="P813">
        <f t="shared" ca="1" si="77"/>
        <v>19172.572799999998</v>
      </c>
    </row>
    <row r="814" spans="1:16" x14ac:dyDescent="0.3">
      <c r="A814" t="s">
        <v>1233</v>
      </c>
      <c r="B814" t="s">
        <v>80</v>
      </c>
      <c r="C814" t="s">
        <v>39</v>
      </c>
      <c r="D814" t="s">
        <v>18</v>
      </c>
      <c r="E814" s="1">
        <v>45944</v>
      </c>
      <c r="F814">
        <v>96243.18</v>
      </c>
      <c r="G814">
        <v>10.79</v>
      </c>
      <c r="H814">
        <v>12</v>
      </c>
      <c r="I814" t="s">
        <v>14</v>
      </c>
      <c r="J814">
        <v>64483</v>
      </c>
      <c r="K814">
        <f t="shared" ca="1" si="72"/>
        <v>0</v>
      </c>
      <c r="L814">
        <f t="shared" ca="1" si="73"/>
        <v>0</v>
      </c>
      <c r="M814" t="str">
        <f t="shared" ca="1" si="74"/>
        <v>Low</v>
      </c>
      <c r="N814">
        <f t="shared" ca="1" si="75"/>
        <v>0.12</v>
      </c>
      <c r="O814">
        <f t="shared" ca="1" si="76"/>
        <v>0</v>
      </c>
      <c r="P814">
        <f t="shared" ca="1" si="77"/>
        <v>0</v>
      </c>
    </row>
    <row r="815" spans="1:16" x14ac:dyDescent="0.3">
      <c r="A815" t="s">
        <v>1234</v>
      </c>
      <c r="B815" t="s">
        <v>1167</v>
      </c>
      <c r="C815" t="s">
        <v>17</v>
      </c>
      <c r="D815" t="s">
        <v>22</v>
      </c>
      <c r="E815" s="1">
        <v>45327</v>
      </c>
      <c r="F815">
        <v>76331.55</v>
      </c>
      <c r="G815">
        <v>13.12</v>
      </c>
      <c r="H815">
        <v>12</v>
      </c>
      <c r="I815" t="s">
        <v>14</v>
      </c>
      <c r="J815">
        <v>61829</v>
      </c>
      <c r="K815">
        <f t="shared" ca="1" si="72"/>
        <v>0</v>
      </c>
      <c r="L815">
        <f t="shared" ca="1" si="73"/>
        <v>0</v>
      </c>
      <c r="M815" t="str">
        <f t="shared" ca="1" si="74"/>
        <v>Low</v>
      </c>
      <c r="N815">
        <f t="shared" ca="1" si="75"/>
        <v>0.12</v>
      </c>
      <c r="O815">
        <f t="shared" ca="1" si="76"/>
        <v>0</v>
      </c>
      <c r="P815">
        <f t="shared" ca="1" si="77"/>
        <v>77858.181000000011</v>
      </c>
    </row>
    <row r="816" spans="1:16" x14ac:dyDescent="0.3">
      <c r="A816" t="s">
        <v>1235</v>
      </c>
      <c r="B816" t="s">
        <v>1236</v>
      </c>
      <c r="C816" t="s">
        <v>33</v>
      </c>
      <c r="D816" t="s">
        <v>22</v>
      </c>
      <c r="E816" s="1">
        <v>45838</v>
      </c>
      <c r="F816">
        <v>51332.19</v>
      </c>
      <c r="G816">
        <v>19.71</v>
      </c>
      <c r="H816">
        <v>180</v>
      </c>
      <c r="I816" t="s">
        <v>27</v>
      </c>
      <c r="J816">
        <v>0</v>
      </c>
      <c r="K816">
        <f t="shared" ca="1" si="72"/>
        <v>0</v>
      </c>
      <c r="L816">
        <f t="shared" ca="1" si="73"/>
        <v>0</v>
      </c>
      <c r="M816" t="str">
        <f t="shared" ca="1" si="74"/>
        <v>Low</v>
      </c>
      <c r="N816">
        <f t="shared" ca="1" si="75"/>
        <v>1.8</v>
      </c>
      <c r="O816">
        <f t="shared" ca="1" si="76"/>
        <v>0</v>
      </c>
      <c r="P816">
        <f t="shared" ca="1" si="77"/>
        <v>64165.237500000003</v>
      </c>
    </row>
    <row r="817" spans="1:16" x14ac:dyDescent="0.3">
      <c r="A817" t="s">
        <v>1237</v>
      </c>
      <c r="B817" t="s">
        <v>332</v>
      </c>
      <c r="C817" t="s">
        <v>33</v>
      </c>
      <c r="D817" t="s">
        <v>30</v>
      </c>
      <c r="E817" s="1">
        <v>45696</v>
      </c>
      <c r="F817">
        <v>1170.9100000000001</v>
      </c>
      <c r="G817">
        <v>16.38</v>
      </c>
      <c r="H817">
        <v>72</v>
      </c>
      <c r="I817" t="s">
        <v>14</v>
      </c>
      <c r="J817">
        <v>972</v>
      </c>
      <c r="K817">
        <f t="shared" ca="1" si="72"/>
        <v>0</v>
      </c>
      <c r="L817">
        <f t="shared" ca="1" si="73"/>
        <v>0</v>
      </c>
      <c r="M817" t="str">
        <f t="shared" ca="1" si="74"/>
        <v>Low</v>
      </c>
      <c r="N817">
        <f t="shared" ca="1" si="75"/>
        <v>0.72</v>
      </c>
      <c r="O817">
        <f t="shared" ca="1" si="76"/>
        <v>0</v>
      </c>
      <c r="P817">
        <f t="shared" ca="1" si="77"/>
        <v>0</v>
      </c>
    </row>
    <row r="818" spans="1:16" x14ac:dyDescent="0.3">
      <c r="A818" t="s">
        <v>1238</v>
      </c>
      <c r="B818" t="s">
        <v>16</v>
      </c>
      <c r="C818" t="s">
        <v>33</v>
      </c>
      <c r="D818" t="s">
        <v>13</v>
      </c>
      <c r="E818" s="1">
        <v>45743</v>
      </c>
      <c r="F818">
        <v>3793.64</v>
      </c>
      <c r="G818">
        <v>14.36</v>
      </c>
      <c r="H818">
        <v>180</v>
      </c>
      <c r="I818" t="s">
        <v>14</v>
      </c>
      <c r="J818">
        <v>3111</v>
      </c>
      <c r="K818">
        <f t="shared" ca="1" si="72"/>
        <v>0</v>
      </c>
      <c r="L818">
        <f t="shared" ca="1" si="73"/>
        <v>0</v>
      </c>
      <c r="M818" t="str">
        <f t="shared" ca="1" si="74"/>
        <v>Low</v>
      </c>
      <c r="N818">
        <f t="shared" ca="1" si="75"/>
        <v>1.8</v>
      </c>
      <c r="O818">
        <f t="shared" ca="1" si="76"/>
        <v>0</v>
      </c>
      <c r="P818">
        <f t="shared" ca="1" si="77"/>
        <v>0</v>
      </c>
    </row>
    <row r="819" spans="1:16" x14ac:dyDescent="0.3">
      <c r="A819" t="s">
        <v>1239</v>
      </c>
      <c r="B819" t="s">
        <v>808</v>
      </c>
      <c r="C819" t="s">
        <v>25</v>
      </c>
      <c r="D819" t="s">
        <v>13</v>
      </c>
      <c r="E819" s="1">
        <v>45995</v>
      </c>
      <c r="F819">
        <v>11317.9</v>
      </c>
      <c r="G819">
        <v>13.86</v>
      </c>
      <c r="H819">
        <v>36</v>
      </c>
      <c r="I819" t="s">
        <v>14</v>
      </c>
      <c r="J819">
        <v>8375</v>
      </c>
      <c r="K819">
        <f t="shared" ca="1" si="72"/>
        <v>0</v>
      </c>
      <c r="L819">
        <f t="shared" ca="1" si="73"/>
        <v>0</v>
      </c>
      <c r="M819" t="str">
        <f t="shared" ca="1" si="74"/>
        <v>Low</v>
      </c>
      <c r="N819">
        <f t="shared" ca="1" si="75"/>
        <v>0.36</v>
      </c>
      <c r="O819">
        <f t="shared" ca="1" si="76"/>
        <v>0</v>
      </c>
      <c r="P819">
        <f t="shared" ca="1" si="77"/>
        <v>0</v>
      </c>
    </row>
    <row r="820" spans="1:16" x14ac:dyDescent="0.3">
      <c r="A820" t="s">
        <v>1240</v>
      </c>
      <c r="B820" t="s">
        <v>1241</v>
      </c>
      <c r="C820" t="s">
        <v>70</v>
      </c>
      <c r="D820" t="s">
        <v>30</v>
      </c>
      <c r="E820" s="1">
        <v>45677</v>
      </c>
      <c r="F820">
        <v>88042.71</v>
      </c>
      <c r="G820">
        <v>8.7799999999999994</v>
      </c>
      <c r="H820">
        <v>360</v>
      </c>
      <c r="I820" t="s">
        <v>27</v>
      </c>
      <c r="J820">
        <v>0</v>
      </c>
      <c r="K820">
        <f t="shared" ca="1" si="72"/>
        <v>0</v>
      </c>
      <c r="L820">
        <f t="shared" ca="1" si="73"/>
        <v>0</v>
      </c>
      <c r="M820" t="str">
        <f t="shared" ca="1" si="74"/>
        <v>Low</v>
      </c>
      <c r="N820">
        <f t="shared" ca="1" si="75"/>
        <v>3.6</v>
      </c>
      <c r="O820">
        <f t="shared" ca="1" si="76"/>
        <v>0</v>
      </c>
      <c r="P820">
        <f t="shared" ca="1" si="77"/>
        <v>0</v>
      </c>
    </row>
    <row r="821" spans="1:16" x14ac:dyDescent="0.3">
      <c r="A821" t="s">
        <v>1242</v>
      </c>
      <c r="B821" t="s">
        <v>924</v>
      </c>
      <c r="C821" t="s">
        <v>70</v>
      </c>
      <c r="D821" t="s">
        <v>13</v>
      </c>
      <c r="E821" s="1">
        <v>45711</v>
      </c>
      <c r="F821">
        <v>82388.649999999994</v>
      </c>
      <c r="G821">
        <v>19.84</v>
      </c>
      <c r="H821">
        <v>72</v>
      </c>
      <c r="I821" t="s">
        <v>14</v>
      </c>
      <c r="J821">
        <v>66735</v>
      </c>
      <c r="K821">
        <f t="shared" ca="1" si="72"/>
        <v>0</v>
      </c>
      <c r="L821">
        <f t="shared" ca="1" si="73"/>
        <v>0</v>
      </c>
      <c r="M821" t="str">
        <f t="shared" ca="1" si="74"/>
        <v>Low</v>
      </c>
      <c r="N821">
        <f t="shared" ca="1" si="75"/>
        <v>0.72</v>
      </c>
      <c r="O821">
        <f t="shared" ca="1" si="76"/>
        <v>0</v>
      </c>
      <c r="P821">
        <f t="shared" ca="1" si="77"/>
        <v>0</v>
      </c>
    </row>
    <row r="822" spans="1:16" x14ac:dyDescent="0.3">
      <c r="A822" t="s">
        <v>1243</v>
      </c>
      <c r="B822" t="s">
        <v>322</v>
      </c>
      <c r="C822" t="s">
        <v>54</v>
      </c>
      <c r="D822" t="s">
        <v>22</v>
      </c>
      <c r="E822" s="1">
        <v>45755</v>
      </c>
      <c r="F822">
        <v>2365.42</v>
      </c>
      <c r="G822">
        <v>12.24</v>
      </c>
      <c r="H822">
        <v>60</v>
      </c>
      <c r="I822" t="s">
        <v>27</v>
      </c>
      <c r="J822">
        <v>0</v>
      </c>
      <c r="K822">
        <f t="shared" ca="1" si="72"/>
        <v>90</v>
      </c>
      <c r="L822">
        <f t="shared" ca="1" si="73"/>
        <v>1</v>
      </c>
      <c r="M822" t="str">
        <f t="shared" ca="1" si="74"/>
        <v>High</v>
      </c>
      <c r="N822">
        <f t="shared" ca="1" si="75"/>
        <v>15</v>
      </c>
      <c r="O822">
        <f t="shared" ca="1" si="76"/>
        <v>10.199999999999999</v>
      </c>
      <c r="P822">
        <f t="shared" ca="1" si="77"/>
        <v>2176.1864</v>
      </c>
    </row>
    <row r="823" spans="1:16" x14ac:dyDescent="0.3">
      <c r="A823" t="s">
        <v>1244</v>
      </c>
      <c r="B823" t="s">
        <v>715</v>
      </c>
      <c r="C823" t="s">
        <v>33</v>
      </c>
      <c r="D823" t="s">
        <v>13</v>
      </c>
      <c r="E823" s="1">
        <v>46107</v>
      </c>
      <c r="F823">
        <v>2062.61</v>
      </c>
      <c r="G823">
        <v>17.36</v>
      </c>
      <c r="H823">
        <v>84</v>
      </c>
      <c r="I823" t="s">
        <v>14</v>
      </c>
      <c r="J823">
        <v>969</v>
      </c>
      <c r="K823">
        <f t="shared" ca="1" si="72"/>
        <v>45</v>
      </c>
      <c r="L823">
        <f t="shared" ca="1" si="73"/>
        <v>0</v>
      </c>
      <c r="M823" t="str">
        <f t="shared" ca="1" si="74"/>
        <v>Medium</v>
      </c>
      <c r="N823">
        <f t="shared" ca="1" si="75"/>
        <v>4.2</v>
      </c>
      <c r="O823">
        <f t="shared" ca="1" si="76"/>
        <v>0</v>
      </c>
      <c r="P823">
        <f t="shared" ca="1" si="77"/>
        <v>0</v>
      </c>
    </row>
    <row r="824" spans="1:16" x14ac:dyDescent="0.3">
      <c r="A824" t="s">
        <v>1245</v>
      </c>
      <c r="B824" t="s">
        <v>1246</v>
      </c>
      <c r="C824" t="s">
        <v>25</v>
      </c>
      <c r="D824" t="s">
        <v>75</v>
      </c>
      <c r="E824" s="1">
        <v>46008</v>
      </c>
      <c r="F824">
        <v>42747.41</v>
      </c>
      <c r="G824">
        <v>16.62</v>
      </c>
      <c r="H824">
        <v>48</v>
      </c>
      <c r="I824" t="s">
        <v>14</v>
      </c>
      <c r="J824">
        <v>27358</v>
      </c>
      <c r="K824">
        <f t="shared" ca="1" si="72"/>
        <v>45</v>
      </c>
      <c r="L824">
        <f t="shared" ca="1" si="73"/>
        <v>0</v>
      </c>
      <c r="M824" t="str">
        <f t="shared" ca="1" si="74"/>
        <v>Medium</v>
      </c>
      <c r="N824">
        <f t="shared" ca="1" si="75"/>
        <v>2.4000000000000004</v>
      </c>
      <c r="O824">
        <f t="shared" ca="1" si="76"/>
        <v>0</v>
      </c>
      <c r="P824">
        <f t="shared" ca="1" si="77"/>
        <v>32488.031600000002</v>
      </c>
    </row>
    <row r="825" spans="1:16" x14ac:dyDescent="0.3">
      <c r="A825" t="s">
        <v>1247</v>
      </c>
      <c r="B825" t="s">
        <v>478</v>
      </c>
      <c r="C825" t="s">
        <v>123</v>
      </c>
      <c r="D825" t="s">
        <v>30</v>
      </c>
      <c r="E825" s="1">
        <v>46175</v>
      </c>
      <c r="F825">
        <v>9343.31</v>
      </c>
      <c r="G825">
        <v>10.89</v>
      </c>
      <c r="H825">
        <v>84</v>
      </c>
      <c r="I825" t="s">
        <v>19</v>
      </c>
      <c r="J825">
        <v>0</v>
      </c>
      <c r="K825">
        <f t="shared" ca="1" si="72"/>
        <v>0</v>
      </c>
      <c r="L825">
        <f t="shared" ca="1" si="73"/>
        <v>0</v>
      </c>
      <c r="M825" t="str">
        <f t="shared" ca="1" si="74"/>
        <v>Low</v>
      </c>
      <c r="N825">
        <f t="shared" ca="1" si="75"/>
        <v>0.84</v>
      </c>
      <c r="O825">
        <f t="shared" ca="1" si="76"/>
        <v>0</v>
      </c>
      <c r="P825">
        <f t="shared" ca="1" si="77"/>
        <v>0</v>
      </c>
    </row>
    <row r="826" spans="1:16" x14ac:dyDescent="0.3">
      <c r="A826" t="s">
        <v>1248</v>
      </c>
      <c r="B826" t="s">
        <v>936</v>
      </c>
      <c r="C826" t="s">
        <v>39</v>
      </c>
      <c r="D826" t="s">
        <v>18</v>
      </c>
      <c r="E826" s="1">
        <v>45670</v>
      </c>
      <c r="F826">
        <v>12938.83</v>
      </c>
      <c r="G826">
        <v>5.59</v>
      </c>
      <c r="H826">
        <v>24</v>
      </c>
      <c r="I826" t="s">
        <v>14</v>
      </c>
      <c r="J826">
        <v>10351</v>
      </c>
      <c r="K826">
        <f t="shared" ca="1" si="72"/>
        <v>30</v>
      </c>
      <c r="L826">
        <f t="shared" ca="1" si="73"/>
        <v>0</v>
      </c>
      <c r="M826" t="str">
        <f t="shared" ca="1" si="74"/>
        <v>Medium</v>
      </c>
      <c r="N826">
        <f t="shared" ca="1" si="75"/>
        <v>1.2000000000000002</v>
      </c>
      <c r="O826">
        <f t="shared" ca="1" si="76"/>
        <v>0</v>
      </c>
      <c r="P826">
        <f t="shared" ca="1" si="77"/>
        <v>0</v>
      </c>
    </row>
    <row r="827" spans="1:16" x14ac:dyDescent="0.3">
      <c r="A827" t="s">
        <v>1249</v>
      </c>
      <c r="B827" t="s">
        <v>242</v>
      </c>
      <c r="C827" t="s">
        <v>54</v>
      </c>
      <c r="D827" t="s">
        <v>30</v>
      </c>
      <c r="E827" s="1">
        <v>45665</v>
      </c>
      <c r="F827">
        <v>42743.26</v>
      </c>
      <c r="G827">
        <v>8.1999999999999993</v>
      </c>
      <c r="H827">
        <v>120</v>
      </c>
      <c r="I827" t="s">
        <v>27</v>
      </c>
      <c r="J827">
        <v>0</v>
      </c>
      <c r="K827">
        <f t="shared" ca="1" si="72"/>
        <v>0</v>
      </c>
      <c r="L827">
        <f t="shared" ca="1" si="73"/>
        <v>0</v>
      </c>
      <c r="M827" t="str">
        <f t="shared" ca="1" si="74"/>
        <v>Low</v>
      </c>
      <c r="N827">
        <f t="shared" ca="1" si="75"/>
        <v>1.2</v>
      </c>
      <c r="O827">
        <f t="shared" ca="1" si="76"/>
        <v>0</v>
      </c>
      <c r="P827">
        <f t="shared" ca="1" si="77"/>
        <v>0</v>
      </c>
    </row>
    <row r="828" spans="1:16" x14ac:dyDescent="0.3">
      <c r="A828" t="s">
        <v>1250</v>
      </c>
      <c r="B828" t="s">
        <v>1108</v>
      </c>
      <c r="C828" t="s">
        <v>12</v>
      </c>
      <c r="D828" t="s">
        <v>18</v>
      </c>
      <c r="E828" s="1">
        <v>45402</v>
      </c>
      <c r="F828">
        <v>61402.23</v>
      </c>
      <c r="G828">
        <v>11.51</v>
      </c>
      <c r="H828">
        <v>84</v>
      </c>
      <c r="I828" t="s">
        <v>14</v>
      </c>
      <c r="J828">
        <v>58332</v>
      </c>
      <c r="K828">
        <f t="shared" ca="1" si="72"/>
        <v>90</v>
      </c>
      <c r="L828">
        <f t="shared" ca="1" si="73"/>
        <v>1</v>
      </c>
      <c r="M828" t="str">
        <f t="shared" ca="1" si="74"/>
        <v>High</v>
      </c>
      <c r="N828">
        <f t="shared" ca="1" si="75"/>
        <v>21</v>
      </c>
      <c r="O828">
        <f t="shared" ca="1" si="76"/>
        <v>4.2</v>
      </c>
      <c r="P828">
        <f t="shared" ca="1" si="77"/>
        <v>0</v>
      </c>
    </row>
    <row r="829" spans="1:16" x14ac:dyDescent="0.3">
      <c r="A829" t="s">
        <v>1251</v>
      </c>
      <c r="B829" t="s">
        <v>1252</v>
      </c>
      <c r="C829" t="s">
        <v>17</v>
      </c>
      <c r="D829" t="s">
        <v>13</v>
      </c>
      <c r="E829" s="1">
        <v>45583</v>
      </c>
      <c r="F829">
        <v>23051.77</v>
      </c>
      <c r="G829">
        <v>5.98</v>
      </c>
      <c r="H829">
        <v>36</v>
      </c>
      <c r="I829" t="s">
        <v>14</v>
      </c>
      <c r="J829">
        <v>12678</v>
      </c>
      <c r="K829">
        <f t="shared" ca="1" si="72"/>
        <v>0</v>
      </c>
      <c r="L829">
        <f t="shared" ca="1" si="73"/>
        <v>0</v>
      </c>
      <c r="M829" t="str">
        <f t="shared" ca="1" si="74"/>
        <v>Low</v>
      </c>
      <c r="N829">
        <f t="shared" ca="1" si="75"/>
        <v>0.36</v>
      </c>
      <c r="O829">
        <f t="shared" ca="1" si="76"/>
        <v>0</v>
      </c>
      <c r="P829">
        <f t="shared" ca="1" si="77"/>
        <v>0</v>
      </c>
    </row>
    <row r="830" spans="1:16" x14ac:dyDescent="0.3">
      <c r="A830" t="s">
        <v>1253</v>
      </c>
      <c r="B830" t="s">
        <v>1254</v>
      </c>
      <c r="C830" t="s">
        <v>39</v>
      </c>
      <c r="D830" t="s">
        <v>30</v>
      </c>
      <c r="E830" s="1">
        <v>45402</v>
      </c>
      <c r="F830">
        <v>75274.429999999993</v>
      </c>
      <c r="G830">
        <v>17.86</v>
      </c>
      <c r="H830">
        <v>36</v>
      </c>
      <c r="I830" t="s">
        <v>14</v>
      </c>
      <c r="J830">
        <v>27852</v>
      </c>
      <c r="K830">
        <f t="shared" ca="1" si="72"/>
        <v>60</v>
      </c>
      <c r="L830">
        <f t="shared" ca="1" si="73"/>
        <v>0</v>
      </c>
      <c r="M830" t="str">
        <f t="shared" ca="1" si="74"/>
        <v>Medium</v>
      </c>
      <c r="N830">
        <f t="shared" ca="1" si="75"/>
        <v>3.6</v>
      </c>
      <c r="O830">
        <f t="shared" ca="1" si="76"/>
        <v>0</v>
      </c>
      <c r="P830">
        <f t="shared" ca="1" si="77"/>
        <v>0</v>
      </c>
    </row>
    <row r="831" spans="1:16" x14ac:dyDescent="0.3">
      <c r="A831" t="s">
        <v>1255</v>
      </c>
      <c r="B831" t="s">
        <v>399</v>
      </c>
      <c r="C831" t="s">
        <v>25</v>
      </c>
      <c r="D831" t="s">
        <v>22</v>
      </c>
      <c r="E831" s="1">
        <v>45780</v>
      </c>
      <c r="F831">
        <v>18806.28</v>
      </c>
      <c r="G831">
        <v>16.489999999999998</v>
      </c>
      <c r="H831">
        <v>24</v>
      </c>
      <c r="I831" t="s">
        <v>14</v>
      </c>
      <c r="J831">
        <v>13164</v>
      </c>
      <c r="K831">
        <f t="shared" ca="1" si="72"/>
        <v>45</v>
      </c>
      <c r="L831">
        <f t="shared" ca="1" si="73"/>
        <v>0</v>
      </c>
      <c r="M831" t="str">
        <f t="shared" ca="1" si="74"/>
        <v>Medium</v>
      </c>
      <c r="N831">
        <f t="shared" ca="1" si="75"/>
        <v>1.2000000000000002</v>
      </c>
      <c r="O831">
        <f t="shared" ca="1" si="76"/>
        <v>0</v>
      </c>
      <c r="P831">
        <f t="shared" ca="1" si="77"/>
        <v>22379.473199999997</v>
      </c>
    </row>
    <row r="832" spans="1:16" x14ac:dyDescent="0.3">
      <c r="A832" t="s">
        <v>1256</v>
      </c>
      <c r="B832" t="s">
        <v>11</v>
      </c>
      <c r="C832" t="s">
        <v>70</v>
      </c>
      <c r="D832" t="s">
        <v>18</v>
      </c>
      <c r="E832" s="1">
        <v>45409</v>
      </c>
      <c r="F832">
        <v>43292.71</v>
      </c>
      <c r="G832">
        <v>19.989999999999998</v>
      </c>
      <c r="H832">
        <v>240</v>
      </c>
      <c r="I832" t="s">
        <v>14</v>
      </c>
      <c r="J832">
        <v>32470</v>
      </c>
      <c r="K832">
        <f t="shared" ca="1" si="72"/>
        <v>30</v>
      </c>
      <c r="L832">
        <f t="shared" ca="1" si="73"/>
        <v>0</v>
      </c>
      <c r="M832" t="str">
        <f t="shared" ca="1" si="74"/>
        <v>Medium</v>
      </c>
      <c r="N832">
        <f t="shared" ca="1" si="75"/>
        <v>12</v>
      </c>
      <c r="O832">
        <f t="shared" ca="1" si="76"/>
        <v>0</v>
      </c>
      <c r="P832">
        <f t="shared" ca="1" si="77"/>
        <v>0</v>
      </c>
    </row>
    <row r="833" spans="1:16" x14ac:dyDescent="0.3">
      <c r="A833" t="s">
        <v>1257</v>
      </c>
      <c r="B833" t="s">
        <v>837</v>
      </c>
      <c r="C833" t="s">
        <v>39</v>
      </c>
      <c r="D833" t="s">
        <v>75</v>
      </c>
      <c r="E833" s="1">
        <v>45550</v>
      </c>
      <c r="F833">
        <v>84059.45</v>
      </c>
      <c r="G833">
        <v>8.7799999999999994</v>
      </c>
      <c r="H833">
        <v>12</v>
      </c>
      <c r="I833" t="s">
        <v>14</v>
      </c>
      <c r="J833">
        <v>64726</v>
      </c>
      <c r="K833">
        <f t="shared" ca="1" si="72"/>
        <v>0</v>
      </c>
      <c r="L833">
        <f t="shared" ca="1" si="73"/>
        <v>0</v>
      </c>
      <c r="M833" t="str">
        <f t="shared" ca="1" si="74"/>
        <v>Low</v>
      </c>
      <c r="N833">
        <f t="shared" ca="1" si="75"/>
        <v>0.12</v>
      </c>
      <c r="O833">
        <f t="shared" ca="1" si="76"/>
        <v>0</v>
      </c>
      <c r="P833">
        <f t="shared" ca="1" si="77"/>
        <v>82378.260999999999</v>
      </c>
    </row>
    <row r="834" spans="1:16" x14ac:dyDescent="0.3">
      <c r="A834" t="s">
        <v>1258</v>
      </c>
      <c r="B834" t="s">
        <v>218</v>
      </c>
      <c r="C834" t="s">
        <v>54</v>
      </c>
      <c r="D834" t="s">
        <v>22</v>
      </c>
      <c r="E834" s="1">
        <v>46093</v>
      </c>
      <c r="F834">
        <v>33918.68</v>
      </c>
      <c r="G834">
        <v>9.49</v>
      </c>
      <c r="H834">
        <v>240</v>
      </c>
      <c r="I834" t="s">
        <v>27</v>
      </c>
      <c r="J834">
        <v>0</v>
      </c>
      <c r="K834">
        <f t="shared" ca="1" si="72"/>
        <v>0</v>
      </c>
      <c r="L834">
        <f t="shared" ca="1" si="73"/>
        <v>0</v>
      </c>
      <c r="M834" t="str">
        <f t="shared" ca="1" si="74"/>
        <v>Low</v>
      </c>
      <c r="N834">
        <f t="shared" ca="1" si="75"/>
        <v>2.4</v>
      </c>
      <c r="O834">
        <f t="shared" ca="1" si="76"/>
        <v>0</v>
      </c>
      <c r="P834">
        <f t="shared" ca="1" si="77"/>
        <v>36292.9876</v>
      </c>
    </row>
    <row r="835" spans="1:16" x14ac:dyDescent="0.3">
      <c r="A835" t="s">
        <v>1259</v>
      </c>
      <c r="B835" t="s">
        <v>302</v>
      </c>
      <c r="C835" t="s">
        <v>25</v>
      </c>
      <c r="D835" t="s">
        <v>13</v>
      </c>
      <c r="E835" s="1">
        <v>45911</v>
      </c>
      <c r="F835">
        <v>6919.25</v>
      </c>
      <c r="G835">
        <v>16.66</v>
      </c>
      <c r="H835">
        <v>24</v>
      </c>
      <c r="I835" t="s">
        <v>27</v>
      </c>
      <c r="J835">
        <v>0</v>
      </c>
      <c r="K835">
        <f t="shared" ref="K835:K898" ca="1" si="78">IF(I835="Paid Off",0,CHOOSE(RANDBETWEEN(1,10),0,0,0,0,15,30,45,60,90,120))</f>
        <v>0</v>
      </c>
      <c r="L835">
        <f t="shared" ref="L835:L898" ca="1" si="79">IF(K835&gt;=90,1,0)</f>
        <v>0</v>
      </c>
      <c r="M835" t="str">
        <f t="shared" ref="M835:M898" ca="1" si="80">IF(K835&gt;=90,"High",IF(K835&gt;=30,"Medium","Low"))</f>
        <v>Low</v>
      </c>
      <c r="N835">
        <f t="shared" ref="N835:N898" ca="1" si="81">IF(L835=1,H835*0.25,IF(K835&gt;=60,H835*0.1,IF(K835&gt;=30,H835*0.05,H835*0.01)))</f>
        <v>0.24</v>
      </c>
      <c r="O835">
        <f t="shared" ref="O835:O898" ca="1" si="82">IF(L835=1,H835*RANDBETWEEN(5,30)/100,0)</f>
        <v>0</v>
      </c>
      <c r="P835">
        <f t="shared" ref="P835:P898" ca="1" si="83">IF(OR(D835="P02",D835="P03",D835="P05"),F835*RANDBETWEEN(70,130)/100,0)</f>
        <v>0</v>
      </c>
    </row>
    <row r="836" spans="1:16" x14ac:dyDescent="0.3">
      <c r="A836" t="s">
        <v>1260</v>
      </c>
      <c r="B836" t="s">
        <v>362</v>
      </c>
      <c r="C836" t="s">
        <v>123</v>
      </c>
      <c r="D836" t="s">
        <v>75</v>
      </c>
      <c r="E836" s="1">
        <v>46089</v>
      </c>
      <c r="F836">
        <v>7803.63</v>
      </c>
      <c r="G836">
        <v>16.100000000000001</v>
      </c>
      <c r="H836">
        <v>60</v>
      </c>
      <c r="I836" t="s">
        <v>27</v>
      </c>
      <c r="J836">
        <v>0</v>
      </c>
      <c r="K836">
        <f t="shared" ca="1" si="78"/>
        <v>120</v>
      </c>
      <c r="L836">
        <f t="shared" ca="1" si="79"/>
        <v>1</v>
      </c>
      <c r="M836" t="str">
        <f t="shared" ca="1" si="80"/>
        <v>High</v>
      </c>
      <c r="N836">
        <f t="shared" ca="1" si="81"/>
        <v>15</v>
      </c>
      <c r="O836">
        <f t="shared" ca="1" si="82"/>
        <v>18</v>
      </c>
      <c r="P836">
        <f t="shared" ca="1" si="83"/>
        <v>7413.4484999999995</v>
      </c>
    </row>
    <row r="837" spans="1:16" x14ac:dyDescent="0.3">
      <c r="A837" t="s">
        <v>1261</v>
      </c>
      <c r="B837" t="s">
        <v>842</v>
      </c>
      <c r="C837" t="s">
        <v>17</v>
      </c>
      <c r="D837" t="s">
        <v>75</v>
      </c>
      <c r="E837" s="1">
        <v>45292</v>
      </c>
      <c r="F837">
        <v>97101.16</v>
      </c>
      <c r="G837">
        <v>14.72</v>
      </c>
      <c r="H837">
        <v>24</v>
      </c>
      <c r="I837" t="s">
        <v>27</v>
      </c>
      <c r="J837">
        <v>0</v>
      </c>
      <c r="K837">
        <f t="shared" ca="1" si="78"/>
        <v>45</v>
      </c>
      <c r="L837">
        <f t="shared" ca="1" si="79"/>
        <v>0</v>
      </c>
      <c r="M837" t="str">
        <f t="shared" ca="1" si="80"/>
        <v>Medium</v>
      </c>
      <c r="N837">
        <f t="shared" ca="1" si="81"/>
        <v>1.2000000000000002</v>
      </c>
      <c r="O837">
        <f t="shared" ca="1" si="82"/>
        <v>0</v>
      </c>
      <c r="P837">
        <f t="shared" ca="1" si="83"/>
        <v>95159.136799999993</v>
      </c>
    </row>
    <row r="838" spans="1:16" x14ac:dyDescent="0.3">
      <c r="A838" t="s">
        <v>1262</v>
      </c>
      <c r="B838" t="s">
        <v>563</v>
      </c>
      <c r="C838" t="s">
        <v>54</v>
      </c>
      <c r="D838" t="s">
        <v>26</v>
      </c>
      <c r="E838" s="1">
        <v>45469</v>
      </c>
      <c r="F838">
        <v>40578.53</v>
      </c>
      <c r="G838">
        <v>5.73</v>
      </c>
      <c r="H838">
        <v>360</v>
      </c>
      <c r="I838" t="s">
        <v>27</v>
      </c>
      <c r="J838">
        <v>0</v>
      </c>
      <c r="K838">
        <f t="shared" ca="1" si="78"/>
        <v>45</v>
      </c>
      <c r="L838">
        <f t="shared" ca="1" si="79"/>
        <v>0</v>
      </c>
      <c r="M838" t="str">
        <f t="shared" ca="1" si="80"/>
        <v>Medium</v>
      </c>
      <c r="N838">
        <f t="shared" ca="1" si="81"/>
        <v>18</v>
      </c>
      <c r="O838">
        <f t="shared" ca="1" si="82"/>
        <v>0</v>
      </c>
      <c r="P838">
        <f t="shared" ca="1" si="83"/>
        <v>36114.8917</v>
      </c>
    </row>
    <row r="839" spans="1:16" x14ac:dyDescent="0.3">
      <c r="A839" t="s">
        <v>1263</v>
      </c>
      <c r="B839" t="s">
        <v>853</v>
      </c>
      <c r="C839" t="s">
        <v>54</v>
      </c>
      <c r="D839" t="s">
        <v>26</v>
      </c>
      <c r="E839" s="1">
        <v>45717</v>
      </c>
      <c r="F839">
        <v>59222.42</v>
      </c>
      <c r="G839">
        <v>16.690000000000001</v>
      </c>
      <c r="H839">
        <v>12</v>
      </c>
      <c r="I839" t="s">
        <v>27</v>
      </c>
      <c r="J839">
        <v>0</v>
      </c>
      <c r="K839">
        <f t="shared" ca="1" si="78"/>
        <v>30</v>
      </c>
      <c r="L839">
        <f t="shared" ca="1" si="79"/>
        <v>0</v>
      </c>
      <c r="M839" t="str">
        <f t="shared" ca="1" si="80"/>
        <v>Medium</v>
      </c>
      <c r="N839">
        <f t="shared" ca="1" si="81"/>
        <v>0.60000000000000009</v>
      </c>
      <c r="O839">
        <f t="shared" ca="1" si="82"/>
        <v>0</v>
      </c>
      <c r="P839">
        <f t="shared" ca="1" si="83"/>
        <v>55669.074799999995</v>
      </c>
    </row>
    <row r="840" spans="1:16" x14ac:dyDescent="0.3">
      <c r="A840" t="s">
        <v>1264</v>
      </c>
      <c r="B840" t="s">
        <v>494</v>
      </c>
      <c r="C840" t="s">
        <v>51</v>
      </c>
      <c r="D840" t="s">
        <v>26</v>
      </c>
      <c r="E840" s="1">
        <v>45775</v>
      </c>
      <c r="F840">
        <v>34394.07</v>
      </c>
      <c r="G840">
        <v>10.48</v>
      </c>
      <c r="H840">
        <v>240</v>
      </c>
      <c r="I840" t="s">
        <v>14</v>
      </c>
      <c r="J840">
        <v>27515</v>
      </c>
      <c r="K840">
        <f t="shared" ca="1" si="78"/>
        <v>0</v>
      </c>
      <c r="L840">
        <f t="shared" ca="1" si="79"/>
        <v>0</v>
      </c>
      <c r="M840" t="str">
        <f t="shared" ca="1" si="80"/>
        <v>Low</v>
      </c>
      <c r="N840">
        <f t="shared" ca="1" si="81"/>
        <v>2.4</v>
      </c>
      <c r="O840">
        <f t="shared" ca="1" si="82"/>
        <v>0</v>
      </c>
      <c r="P840">
        <f t="shared" ca="1" si="83"/>
        <v>40585.0026</v>
      </c>
    </row>
    <row r="841" spans="1:16" x14ac:dyDescent="0.3">
      <c r="A841" t="s">
        <v>1265</v>
      </c>
      <c r="B841" t="s">
        <v>1266</v>
      </c>
      <c r="C841" t="s">
        <v>54</v>
      </c>
      <c r="D841" t="s">
        <v>75</v>
      </c>
      <c r="E841" s="1">
        <v>45836</v>
      </c>
      <c r="F841">
        <v>62648.47</v>
      </c>
      <c r="G841">
        <v>19.64</v>
      </c>
      <c r="H841">
        <v>48</v>
      </c>
      <c r="I841" t="s">
        <v>14</v>
      </c>
      <c r="J841">
        <v>56384</v>
      </c>
      <c r="K841">
        <f t="shared" ca="1" si="78"/>
        <v>90</v>
      </c>
      <c r="L841">
        <f t="shared" ca="1" si="79"/>
        <v>1</v>
      </c>
      <c r="M841" t="str">
        <f t="shared" ca="1" si="80"/>
        <v>High</v>
      </c>
      <c r="N841">
        <f t="shared" ca="1" si="81"/>
        <v>12</v>
      </c>
      <c r="O841">
        <f t="shared" ca="1" si="82"/>
        <v>11.04</v>
      </c>
      <c r="P841">
        <f t="shared" ca="1" si="83"/>
        <v>63274.954699999995</v>
      </c>
    </row>
    <row r="842" spans="1:16" x14ac:dyDescent="0.3">
      <c r="A842" t="s">
        <v>1267</v>
      </c>
      <c r="B842" t="s">
        <v>576</v>
      </c>
      <c r="C842" t="s">
        <v>25</v>
      </c>
      <c r="D842" t="s">
        <v>13</v>
      </c>
      <c r="E842" s="1">
        <v>45373</v>
      </c>
      <c r="F842">
        <v>49152.72</v>
      </c>
      <c r="G842">
        <v>13.79</v>
      </c>
      <c r="H842">
        <v>360</v>
      </c>
      <c r="I842" t="s">
        <v>14</v>
      </c>
      <c r="J842">
        <v>28017</v>
      </c>
      <c r="K842">
        <f t="shared" ca="1" si="78"/>
        <v>30</v>
      </c>
      <c r="L842">
        <f t="shared" ca="1" si="79"/>
        <v>0</v>
      </c>
      <c r="M842" t="str">
        <f t="shared" ca="1" si="80"/>
        <v>Medium</v>
      </c>
      <c r="N842">
        <f t="shared" ca="1" si="81"/>
        <v>18</v>
      </c>
      <c r="O842">
        <f t="shared" ca="1" si="82"/>
        <v>0</v>
      </c>
      <c r="P842">
        <f t="shared" ca="1" si="83"/>
        <v>0</v>
      </c>
    </row>
    <row r="843" spans="1:16" x14ac:dyDescent="0.3">
      <c r="A843" t="s">
        <v>1268</v>
      </c>
      <c r="B843" t="s">
        <v>152</v>
      </c>
      <c r="C843" t="s">
        <v>54</v>
      </c>
      <c r="D843" t="s">
        <v>26</v>
      </c>
      <c r="E843" s="1">
        <v>45487</v>
      </c>
      <c r="F843">
        <v>23226.15</v>
      </c>
      <c r="G843">
        <v>18.93</v>
      </c>
      <c r="H843">
        <v>180</v>
      </c>
      <c r="I843" t="s">
        <v>14</v>
      </c>
      <c r="J843">
        <v>21136</v>
      </c>
      <c r="K843">
        <f t="shared" ca="1" si="78"/>
        <v>0</v>
      </c>
      <c r="L843">
        <f t="shared" ca="1" si="79"/>
        <v>0</v>
      </c>
      <c r="M843" t="str">
        <f t="shared" ca="1" si="80"/>
        <v>Low</v>
      </c>
      <c r="N843">
        <f t="shared" ca="1" si="81"/>
        <v>1.8</v>
      </c>
      <c r="O843">
        <f t="shared" ca="1" si="82"/>
        <v>0</v>
      </c>
      <c r="P843">
        <f t="shared" ca="1" si="83"/>
        <v>26477.811000000002</v>
      </c>
    </row>
    <row r="844" spans="1:16" x14ac:dyDescent="0.3">
      <c r="A844" t="s">
        <v>1269</v>
      </c>
      <c r="B844" t="s">
        <v>1022</v>
      </c>
      <c r="C844" t="s">
        <v>54</v>
      </c>
      <c r="D844" t="s">
        <v>30</v>
      </c>
      <c r="E844" s="1">
        <v>45714</v>
      </c>
      <c r="F844">
        <v>37136.54</v>
      </c>
      <c r="G844">
        <v>15.67</v>
      </c>
      <c r="H844">
        <v>240</v>
      </c>
      <c r="I844" t="s">
        <v>14</v>
      </c>
      <c r="J844">
        <v>14483</v>
      </c>
      <c r="K844">
        <f t="shared" ca="1" si="78"/>
        <v>90</v>
      </c>
      <c r="L844">
        <f t="shared" ca="1" si="79"/>
        <v>1</v>
      </c>
      <c r="M844" t="str">
        <f t="shared" ca="1" si="80"/>
        <v>High</v>
      </c>
      <c r="N844">
        <f t="shared" ca="1" si="81"/>
        <v>60</v>
      </c>
      <c r="O844">
        <f t="shared" ca="1" si="82"/>
        <v>52.8</v>
      </c>
      <c r="P844">
        <f t="shared" ca="1" si="83"/>
        <v>0</v>
      </c>
    </row>
    <row r="845" spans="1:16" x14ac:dyDescent="0.3">
      <c r="A845" t="s">
        <v>1270</v>
      </c>
      <c r="B845" t="s">
        <v>183</v>
      </c>
      <c r="C845" t="s">
        <v>54</v>
      </c>
      <c r="D845" t="s">
        <v>75</v>
      </c>
      <c r="E845" s="1">
        <v>46162</v>
      </c>
      <c r="F845">
        <v>58355.519999999997</v>
      </c>
      <c r="G845">
        <v>9.0399999999999991</v>
      </c>
      <c r="H845">
        <v>180</v>
      </c>
      <c r="I845" t="s">
        <v>14</v>
      </c>
      <c r="J845">
        <v>32679</v>
      </c>
      <c r="K845">
        <f t="shared" ca="1" si="78"/>
        <v>90</v>
      </c>
      <c r="L845">
        <f t="shared" ca="1" si="79"/>
        <v>1</v>
      </c>
      <c r="M845" t="str">
        <f t="shared" ca="1" si="80"/>
        <v>High</v>
      </c>
      <c r="N845">
        <f t="shared" ca="1" si="81"/>
        <v>45</v>
      </c>
      <c r="O845">
        <f t="shared" ca="1" si="82"/>
        <v>10.8</v>
      </c>
      <c r="P845">
        <f t="shared" ca="1" si="83"/>
        <v>44933.750399999997</v>
      </c>
    </row>
    <row r="846" spans="1:16" x14ac:dyDescent="0.3">
      <c r="A846" t="s">
        <v>1271</v>
      </c>
      <c r="B846" t="s">
        <v>877</v>
      </c>
      <c r="C846" t="s">
        <v>12</v>
      </c>
      <c r="D846" t="s">
        <v>30</v>
      </c>
      <c r="E846" s="1">
        <v>46073</v>
      </c>
      <c r="F846">
        <v>68592.2</v>
      </c>
      <c r="G846">
        <v>21.98</v>
      </c>
      <c r="H846">
        <v>360</v>
      </c>
      <c r="I846" t="s">
        <v>14</v>
      </c>
      <c r="J846">
        <v>63105</v>
      </c>
      <c r="K846">
        <f t="shared" ca="1" si="78"/>
        <v>30</v>
      </c>
      <c r="L846">
        <f t="shared" ca="1" si="79"/>
        <v>0</v>
      </c>
      <c r="M846" t="str">
        <f t="shared" ca="1" si="80"/>
        <v>Medium</v>
      </c>
      <c r="N846">
        <f t="shared" ca="1" si="81"/>
        <v>18</v>
      </c>
      <c r="O846">
        <f t="shared" ca="1" si="82"/>
        <v>0</v>
      </c>
      <c r="P846">
        <f t="shared" ca="1" si="83"/>
        <v>0</v>
      </c>
    </row>
    <row r="847" spans="1:16" x14ac:dyDescent="0.3">
      <c r="A847" t="s">
        <v>1272</v>
      </c>
      <c r="B847" t="s">
        <v>834</v>
      </c>
      <c r="C847" t="s">
        <v>39</v>
      </c>
      <c r="D847" t="s">
        <v>18</v>
      </c>
      <c r="E847" s="1">
        <v>46007</v>
      </c>
      <c r="F847">
        <v>57773.7</v>
      </c>
      <c r="G847">
        <v>7.78</v>
      </c>
      <c r="H847">
        <v>72</v>
      </c>
      <c r="I847" t="s">
        <v>14</v>
      </c>
      <c r="J847">
        <v>26576</v>
      </c>
      <c r="K847">
        <f t="shared" ca="1" si="78"/>
        <v>45</v>
      </c>
      <c r="L847">
        <f t="shared" ca="1" si="79"/>
        <v>0</v>
      </c>
      <c r="M847" t="str">
        <f t="shared" ca="1" si="80"/>
        <v>Medium</v>
      </c>
      <c r="N847">
        <f t="shared" ca="1" si="81"/>
        <v>3.6</v>
      </c>
      <c r="O847">
        <f t="shared" ca="1" si="82"/>
        <v>0</v>
      </c>
      <c r="P847">
        <f t="shared" ca="1" si="83"/>
        <v>0</v>
      </c>
    </row>
    <row r="848" spans="1:16" x14ac:dyDescent="0.3">
      <c r="A848" t="s">
        <v>1273</v>
      </c>
      <c r="B848" t="s">
        <v>1274</v>
      </c>
      <c r="C848" t="s">
        <v>39</v>
      </c>
      <c r="D848" t="s">
        <v>26</v>
      </c>
      <c r="E848" s="1">
        <v>45994</v>
      </c>
      <c r="F848">
        <v>67105.460000000006</v>
      </c>
      <c r="G848">
        <v>18.13</v>
      </c>
      <c r="H848">
        <v>180</v>
      </c>
      <c r="I848" t="s">
        <v>19</v>
      </c>
      <c r="J848">
        <v>0</v>
      </c>
      <c r="K848">
        <f t="shared" ca="1" si="78"/>
        <v>0</v>
      </c>
      <c r="L848">
        <f t="shared" ca="1" si="79"/>
        <v>0</v>
      </c>
      <c r="M848" t="str">
        <f t="shared" ca="1" si="80"/>
        <v>Low</v>
      </c>
      <c r="N848">
        <f t="shared" ca="1" si="81"/>
        <v>1.8</v>
      </c>
      <c r="O848">
        <f t="shared" ca="1" si="82"/>
        <v>0</v>
      </c>
      <c r="P848">
        <f t="shared" ca="1" si="83"/>
        <v>79855.497400000007</v>
      </c>
    </row>
    <row r="849" spans="1:16" x14ac:dyDescent="0.3">
      <c r="A849" t="s">
        <v>1275</v>
      </c>
      <c r="B849" t="s">
        <v>212</v>
      </c>
      <c r="C849" t="s">
        <v>17</v>
      </c>
      <c r="D849" t="s">
        <v>26</v>
      </c>
      <c r="E849" s="1">
        <v>45969</v>
      </c>
      <c r="F849">
        <v>46196.02</v>
      </c>
      <c r="G849">
        <v>4.26</v>
      </c>
      <c r="H849">
        <v>24</v>
      </c>
      <c r="I849" t="s">
        <v>14</v>
      </c>
      <c r="J849">
        <v>39267</v>
      </c>
      <c r="K849">
        <f t="shared" ca="1" si="78"/>
        <v>60</v>
      </c>
      <c r="L849">
        <f t="shared" ca="1" si="79"/>
        <v>0</v>
      </c>
      <c r="M849" t="str">
        <f t="shared" ca="1" si="80"/>
        <v>Medium</v>
      </c>
      <c r="N849">
        <f t="shared" ca="1" si="81"/>
        <v>2.4000000000000004</v>
      </c>
      <c r="O849">
        <f t="shared" ca="1" si="82"/>
        <v>0</v>
      </c>
      <c r="P849">
        <f t="shared" ca="1" si="83"/>
        <v>48967.781199999998</v>
      </c>
    </row>
    <row r="850" spans="1:16" x14ac:dyDescent="0.3">
      <c r="A850" t="s">
        <v>1276</v>
      </c>
      <c r="B850" t="s">
        <v>886</v>
      </c>
      <c r="C850" t="s">
        <v>51</v>
      </c>
      <c r="D850" t="s">
        <v>26</v>
      </c>
      <c r="E850" s="1">
        <v>45441</v>
      </c>
      <c r="F850">
        <v>82260.59</v>
      </c>
      <c r="G850">
        <v>8.2200000000000006</v>
      </c>
      <c r="H850">
        <v>240</v>
      </c>
      <c r="I850" t="s">
        <v>27</v>
      </c>
      <c r="J850">
        <v>0</v>
      </c>
      <c r="K850">
        <f t="shared" ca="1" si="78"/>
        <v>45</v>
      </c>
      <c r="L850">
        <f t="shared" ca="1" si="79"/>
        <v>0</v>
      </c>
      <c r="M850" t="str">
        <f t="shared" ca="1" si="80"/>
        <v>Medium</v>
      </c>
      <c r="N850">
        <f t="shared" ca="1" si="81"/>
        <v>12</v>
      </c>
      <c r="O850">
        <f t="shared" ca="1" si="82"/>
        <v>0</v>
      </c>
      <c r="P850">
        <f t="shared" ca="1" si="83"/>
        <v>95422.28439999999</v>
      </c>
    </row>
    <row r="851" spans="1:16" x14ac:dyDescent="0.3">
      <c r="A851" t="s">
        <v>1277</v>
      </c>
      <c r="B851" t="s">
        <v>336</v>
      </c>
      <c r="C851" t="s">
        <v>33</v>
      </c>
      <c r="D851" t="s">
        <v>22</v>
      </c>
      <c r="E851" s="1">
        <v>45855</v>
      </c>
      <c r="F851">
        <v>65112.959999999999</v>
      </c>
      <c r="G851">
        <v>8.56</v>
      </c>
      <c r="H851">
        <v>240</v>
      </c>
      <c r="I851" t="s">
        <v>14</v>
      </c>
      <c r="J851">
        <v>23441</v>
      </c>
      <c r="K851">
        <f t="shared" ca="1" si="78"/>
        <v>45</v>
      </c>
      <c r="L851">
        <f t="shared" ca="1" si="79"/>
        <v>0</v>
      </c>
      <c r="M851" t="str">
        <f t="shared" ca="1" si="80"/>
        <v>Medium</v>
      </c>
      <c r="N851">
        <f t="shared" ca="1" si="81"/>
        <v>12</v>
      </c>
      <c r="O851">
        <f t="shared" ca="1" si="82"/>
        <v>0</v>
      </c>
      <c r="P851">
        <f t="shared" ca="1" si="83"/>
        <v>54043.756799999996</v>
      </c>
    </row>
    <row r="852" spans="1:16" x14ac:dyDescent="0.3">
      <c r="A852" t="s">
        <v>1278</v>
      </c>
      <c r="B852" t="s">
        <v>1279</v>
      </c>
      <c r="C852" t="s">
        <v>33</v>
      </c>
      <c r="D852" t="s">
        <v>22</v>
      </c>
      <c r="E852" s="1">
        <v>45545</v>
      </c>
      <c r="F852">
        <v>85267.74</v>
      </c>
      <c r="G852">
        <v>13.31</v>
      </c>
      <c r="H852">
        <v>48</v>
      </c>
      <c r="I852" t="s">
        <v>14</v>
      </c>
      <c r="J852">
        <v>60540</v>
      </c>
      <c r="K852">
        <f t="shared" ca="1" si="78"/>
        <v>120</v>
      </c>
      <c r="L852">
        <f t="shared" ca="1" si="79"/>
        <v>1</v>
      </c>
      <c r="M852" t="str">
        <f t="shared" ca="1" si="80"/>
        <v>High</v>
      </c>
      <c r="N852">
        <f t="shared" ca="1" si="81"/>
        <v>12</v>
      </c>
      <c r="O852">
        <f t="shared" ca="1" si="82"/>
        <v>11.04</v>
      </c>
      <c r="P852">
        <f t="shared" ca="1" si="83"/>
        <v>97205.223600000012</v>
      </c>
    </row>
    <row r="853" spans="1:16" x14ac:dyDescent="0.3">
      <c r="A853" t="s">
        <v>1280</v>
      </c>
      <c r="B853" t="s">
        <v>308</v>
      </c>
      <c r="C853" t="s">
        <v>51</v>
      </c>
      <c r="D853" t="s">
        <v>75</v>
      </c>
      <c r="E853" s="1">
        <v>45930</v>
      </c>
      <c r="F853">
        <v>53528.34</v>
      </c>
      <c r="G853">
        <v>18.600000000000001</v>
      </c>
      <c r="H853">
        <v>120</v>
      </c>
      <c r="I853" t="s">
        <v>27</v>
      </c>
      <c r="J853">
        <v>0</v>
      </c>
      <c r="K853">
        <f t="shared" ca="1" si="78"/>
        <v>45</v>
      </c>
      <c r="L853">
        <f t="shared" ca="1" si="79"/>
        <v>0</v>
      </c>
      <c r="M853" t="str">
        <f t="shared" ca="1" si="80"/>
        <v>Medium</v>
      </c>
      <c r="N853">
        <f t="shared" ca="1" si="81"/>
        <v>6</v>
      </c>
      <c r="O853">
        <f t="shared" ca="1" si="82"/>
        <v>0</v>
      </c>
      <c r="P853">
        <f t="shared" ca="1" si="83"/>
        <v>69586.84199999999</v>
      </c>
    </row>
    <row r="854" spans="1:16" x14ac:dyDescent="0.3">
      <c r="A854" t="s">
        <v>1281</v>
      </c>
      <c r="B854" t="s">
        <v>1282</v>
      </c>
      <c r="C854" t="s">
        <v>36</v>
      </c>
      <c r="D854" t="s">
        <v>13</v>
      </c>
      <c r="E854" s="1">
        <v>45355</v>
      </c>
      <c r="F854">
        <v>48125.58</v>
      </c>
      <c r="G854">
        <v>7.32</v>
      </c>
      <c r="H854">
        <v>24</v>
      </c>
      <c r="I854" t="s">
        <v>27</v>
      </c>
      <c r="J854">
        <v>0</v>
      </c>
      <c r="K854">
        <f t="shared" ca="1" si="78"/>
        <v>0</v>
      </c>
      <c r="L854">
        <f t="shared" ca="1" si="79"/>
        <v>0</v>
      </c>
      <c r="M854" t="str">
        <f t="shared" ca="1" si="80"/>
        <v>Low</v>
      </c>
      <c r="N854">
        <f t="shared" ca="1" si="81"/>
        <v>0.24</v>
      </c>
      <c r="O854">
        <f t="shared" ca="1" si="82"/>
        <v>0</v>
      </c>
      <c r="P854">
        <f t="shared" ca="1" si="83"/>
        <v>0</v>
      </c>
    </row>
    <row r="855" spans="1:16" x14ac:dyDescent="0.3">
      <c r="A855" t="s">
        <v>1283</v>
      </c>
      <c r="B855" t="s">
        <v>1284</v>
      </c>
      <c r="C855" t="s">
        <v>12</v>
      </c>
      <c r="D855" t="s">
        <v>26</v>
      </c>
      <c r="E855" s="1">
        <v>45747</v>
      </c>
      <c r="F855">
        <v>68625.86</v>
      </c>
      <c r="G855">
        <v>21.71</v>
      </c>
      <c r="H855">
        <v>72</v>
      </c>
      <c r="I855" t="s">
        <v>14</v>
      </c>
      <c r="J855">
        <v>29509</v>
      </c>
      <c r="K855">
        <f t="shared" ca="1" si="78"/>
        <v>120</v>
      </c>
      <c r="L855">
        <f t="shared" ca="1" si="79"/>
        <v>1</v>
      </c>
      <c r="M855" t="str">
        <f t="shared" ca="1" si="80"/>
        <v>High</v>
      </c>
      <c r="N855">
        <f t="shared" ca="1" si="81"/>
        <v>18</v>
      </c>
      <c r="O855">
        <f t="shared" ca="1" si="82"/>
        <v>20.88</v>
      </c>
      <c r="P855">
        <f t="shared" ca="1" si="83"/>
        <v>50783.136399999996</v>
      </c>
    </row>
    <row r="856" spans="1:16" x14ac:dyDescent="0.3">
      <c r="A856" t="s">
        <v>1285</v>
      </c>
      <c r="B856" t="s">
        <v>310</v>
      </c>
      <c r="C856" t="s">
        <v>39</v>
      </c>
      <c r="D856" t="s">
        <v>75</v>
      </c>
      <c r="E856" s="1">
        <v>46039</v>
      </c>
      <c r="F856">
        <v>16283.01</v>
      </c>
      <c r="G856">
        <v>13.63</v>
      </c>
      <c r="H856">
        <v>180</v>
      </c>
      <c r="I856" t="s">
        <v>14</v>
      </c>
      <c r="J856">
        <v>14818</v>
      </c>
      <c r="K856">
        <f t="shared" ca="1" si="78"/>
        <v>0</v>
      </c>
      <c r="L856">
        <f t="shared" ca="1" si="79"/>
        <v>0</v>
      </c>
      <c r="M856" t="str">
        <f t="shared" ca="1" si="80"/>
        <v>Low</v>
      </c>
      <c r="N856">
        <f t="shared" ca="1" si="81"/>
        <v>1.8</v>
      </c>
      <c r="O856">
        <f t="shared" ca="1" si="82"/>
        <v>0</v>
      </c>
      <c r="P856">
        <f t="shared" ca="1" si="83"/>
        <v>12700.747800000001</v>
      </c>
    </row>
    <row r="857" spans="1:16" x14ac:dyDescent="0.3">
      <c r="A857" t="s">
        <v>1286</v>
      </c>
      <c r="B857" t="s">
        <v>304</v>
      </c>
      <c r="C857" t="s">
        <v>39</v>
      </c>
      <c r="D857" t="s">
        <v>13</v>
      </c>
      <c r="E857" s="1">
        <v>46119</v>
      </c>
      <c r="F857">
        <v>40347</v>
      </c>
      <c r="G857">
        <v>5.0999999999999996</v>
      </c>
      <c r="H857">
        <v>36</v>
      </c>
      <c r="I857" t="s">
        <v>14</v>
      </c>
      <c r="J857">
        <v>36312</v>
      </c>
      <c r="K857">
        <f t="shared" ca="1" si="78"/>
        <v>0</v>
      </c>
      <c r="L857">
        <f t="shared" ca="1" si="79"/>
        <v>0</v>
      </c>
      <c r="M857" t="str">
        <f t="shared" ca="1" si="80"/>
        <v>Low</v>
      </c>
      <c r="N857">
        <f t="shared" ca="1" si="81"/>
        <v>0.36</v>
      </c>
      <c r="O857">
        <f t="shared" ca="1" si="82"/>
        <v>0</v>
      </c>
      <c r="P857">
        <f t="shared" ca="1" si="83"/>
        <v>0</v>
      </c>
    </row>
    <row r="858" spans="1:16" x14ac:dyDescent="0.3">
      <c r="A858" t="s">
        <v>1287</v>
      </c>
      <c r="B858" t="s">
        <v>1288</v>
      </c>
      <c r="C858" t="s">
        <v>25</v>
      </c>
      <c r="D858" t="s">
        <v>18</v>
      </c>
      <c r="E858" s="1">
        <v>45332</v>
      </c>
      <c r="F858">
        <v>2241.58</v>
      </c>
      <c r="G858">
        <v>12.56</v>
      </c>
      <c r="H858">
        <v>60</v>
      </c>
      <c r="I858" t="s">
        <v>27</v>
      </c>
      <c r="J858">
        <v>0</v>
      </c>
      <c r="K858">
        <f t="shared" ca="1" si="78"/>
        <v>30</v>
      </c>
      <c r="L858">
        <f t="shared" ca="1" si="79"/>
        <v>0</v>
      </c>
      <c r="M858" t="str">
        <f t="shared" ca="1" si="80"/>
        <v>Medium</v>
      </c>
      <c r="N858">
        <f t="shared" ca="1" si="81"/>
        <v>3</v>
      </c>
      <c r="O858">
        <f t="shared" ca="1" si="82"/>
        <v>0</v>
      </c>
      <c r="P858">
        <f t="shared" ca="1" si="83"/>
        <v>0</v>
      </c>
    </row>
    <row r="859" spans="1:16" x14ac:dyDescent="0.3">
      <c r="A859" t="s">
        <v>1289</v>
      </c>
      <c r="B859" t="s">
        <v>1067</v>
      </c>
      <c r="C859" t="s">
        <v>36</v>
      </c>
      <c r="D859" t="s">
        <v>18</v>
      </c>
      <c r="E859" s="1">
        <v>46149</v>
      </c>
      <c r="F859">
        <v>90986.03</v>
      </c>
      <c r="G859">
        <v>5</v>
      </c>
      <c r="H859">
        <v>240</v>
      </c>
      <c r="I859" t="s">
        <v>14</v>
      </c>
      <c r="J859">
        <v>62780</v>
      </c>
      <c r="K859">
        <f t="shared" ca="1" si="78"/>
        <v>120</v>
      </c>
      <c r="L859">
        <f t="shared" ca="1" si="79"/>
        <v>1</v>
      </c>
      <c r="M859" t="str">
        <f t="shared" ca="1" si="80"/>
        <v>High</v>
      </c>
      <c r="N859">
        <f t="shared" ca="1" si="81"/>
        <v>60</v>
      </c>
      <c r="O859">
        <f t="shared" ca="1" si="82"/>
        <v>45.6</v>
      </c>
      <c r="P859">
        <f t="shared" ca="1" si="83"/>
        <v>0</v>
      </c>
    </row>
    <row r="860" spans="1:16" x14ac:dyDescent="0.3">
      <c r="A860" t="s">
        <v>1290</v>
      </c>
      <c r="B860" t="s">
        <v>523</v>
      </c>
      <c r="C860" t="s">
        <v>70</v>
      </c>
      <c r="D860" t="s">
        <v>18</v>
      </c>
      <c r="E860" s="1">
        <v>45617</v>
      </c>
      <c r="F860">
        <v>93921.76</v>
      </c>
      <c r="G860">
        <v>12.42</v>
      </c>
      <c r="H860">
        <v>48</v>
      </c>
      <c r="I860" t="s">
        <v>19</v>
      </c>
      <c r="J860">
        <v>0</v>
      </c>
      <c r="K860">
        <f t="shared" ca="1" si="78"/>
        <v>0</v>
      </c>
      <c r="L860">
        <f t="shared" ca="1" si="79"/>
        <v>0</v>
      </c>
      <c r="M860" t="str">
        <f t="shared" ca="1" si="80"/>
        <v>Low</v>
      </c>
      <c r="N860">
        <f t="shared" ca="1" si="81"/>
        <v>0.48</v>
      </c>
      <c r="O860">
        <f t="shared" ca="1" si="82"/>
        <v>0</v>
      </c>
      <c r="P860">
        <f t="shared" ca="1" si="83"/>
        <v>0</v>
      </c>
    </row>
    <row r="861" spans="1:16" x14ac:dyDescent="0.3">
      <c r="A861" t="s">
        <v>1291</v>
      </c>
      <c r="B861" t="s">
        <v>394</v>
      </c>
      <c r="C861" t="s">
        <v>51</v>
      </c>
      <c r="D861" t="s">
        <v>75</v>
      </c>
      <c r="E861" s="1">
        <v>45521</v>
      </c>
      <c r="F861">
        <v>80104.259999999995</v>
      </c>
      <c r="G861">
        <v>9.07</v>
      </c>
      <c r="H861">
        <v>240</v>
      </c>
      <c r="I861" t="s">
        <v>27</v>
      </c>
      <c r="J861">
        <v>0</v>
      </c>
      <c r="K861">
        <f t="shared" ca="1" si="78"/>
        <v>0</v>
      </c>
      <c r="L861">
        <f t="shared" ca="1" si="79"/>
        <v>0</v>
      </c>
      <c r="M861" t="str">
        <f t="shared" ca="1" si="80"/>
        <v>Low</v>
      </c>
      <c r="N861">
        <f t="shared" ca="1" si="81"/>
        <v>2.4</v>
      </c>
      <c r="O861">
        <f t="shared" ca="1" si="82"/>
        <v>0</v>
      </c>
      <c r="P861">
        <f t="shared" ca="1" si="83"/>
        <v>64884.450599999996</v>
      </c>
    </row>
    <row r="862" spans="1:16" x14ac:dyDescent="0.3">
      <c r="A862" t="s">
        <v>1292</v>
      </c>
      <c r="B862" t="s">
        <v>529</v>
      </c>
      <c r="C862" t="s">
        <v>33</v>
      </c>
      <c r="D862" t="s">
        <v>75</v>
      </c>
      <c r="E862" s="1">
        <v>45851</v>
      </c>
      <c r="F862">
        <v>59177.77</v>
      </c>
      <c r="G862">
        <v>13.93</v>
      </c>
      <c r="H862">
        <v>180</v>
      </c>
      <c r="I862" t="s">
        <v>14</v>
      </c>
      <c r="J862">
        <v>33140</v>
      </c>
      <c r="K862">
        <f t="shared" ca="1" si="78"/>
        <v>45</v>
      </c>
      <c r="L862">
        <f t="shared" ca="1" si="79"/>
        <v>0</v>
      </c>
      <c r="M862" t="str">
        <f t="shared" ca="1" si="80"/>
        <v>Medium</v>
      </c>
      <c r="N862">
        <f t="shared" ca="1" si="81"/>
        <v>9</v>
      </c>
      <c r="O862">
        <f t="shared" ca="1" si="82"/>
        <v>0</v>
      </c>
      <c r="P862">
        <f t="shared" ca="1" si="83"/>
        <v>72788.657099999997</v>
      </c>
    </row>
    <row r="863" spans="1:16" x14ac:dyDescent="0.3">
      <c r="A863" t="s">
        <v>1293</v>
      </c>
      <c r="B863" t="s">
        <v>148</v>
      </c>
      <c r="C863" t="s">
        <v>12</v>
      </c>
      <c r="D863" t="s">
        <v>22</v>
      </c>
      <c r="E863" s="1">
        <v>45449</v>
      </c>
      <c r="F863">
        <v>1014.55</v>
      </c>
      <c r="G863">
        <v>14.87</v>
      </c>
      <c r="H863">
        <v>24</v>
      </c>
      <c r="I863" t="s">
        <v>27</v>
      </c>
      <c r="J863">
        <v>0</v>
      </c>
      <c r="K863">
        <f t="shared" ca="1" si="78"/>
        <v>15</v>
      </c>
      <c r="L863">
        <f t="shared" ca="1" si="79"/>
        <v>0</v>
      </c>
      <c r="M863" t="str">
        <f t="shared" ca="1" si="80"/>
        <v>Low</v>
      </c>
      <c r="N863">
        <f t="shared" ca="1" si="81"/>
        <v>0.24</v>
      </c>
      <c r="O863">
        <f t="shared" ca="1" si="82"/>
        <v>0</v>
      </c>
      <c r="P863">
        <f t="shared" ca="1" si="83"/>
        <v>1187.0235</v>
      </c>
    </row>
    <row r="864" spans="1:16" x14ac:dyDescent="0.3">
      <c r="A864" t="s">
        <v>1294</v>
      </c>
      <c r="B864" t="s">
        <v>1095</v>
      </c>
      <c r="C864" t="s">
        <v>51</v>
      </c>
      <c r="D864" t="s">
        <v>30</v>
      </c>
      <c r="E864" s="1">
        <v>45829</v>
      </c>
      <c r="F864">
        <v>88979.58</v>
      </c>
      <c r="G864">
        <v>4.6500000000000004</v>
      </c>
      <c r="H864">
        <v>36</v>
      </c>
      <c r="I864" t="s">
        <v>14</v>
      </c>
      <c r="J864">
        <v>60506</v>
      </c>
      <c r="K864">
        <f t="shared" ca="1" si="78"/>
        <v>60</v>
      </c>
      <c r="L864">
        <f t="shared" ca="1" si="79"/>
        <v>0</v>
      </c>
      <c r="M864" t="str">
        <f t="shared" ca="1" si="80"/>
        <v>Medium</v>
      </c>
      <c r="N864">
        <f t="shared" ca="1" si="81"/>
        <v>3.6</v>
      </c>
      <c r="O864">
        <f t="shared" ca="1" si="82"/>
        <v>0</v>
      </c>
      <c r="P864">
        <f t="shared" ca="1" si="83"/>
        <v>0</v>
      </c>
    </row>
    <row r="865" spans="1:16" x14ac:dyDescent="0.3">
      <c r="A865" t="s">
        <v>1295</v>
      </c>
      <c r="B865" t="s">
        <v>499</v>
      </c>
      <c r="C865" t="s">
        <v>70</v>
      </c>
      <c r="D865" t="s">
        <v>75</v>
      </c>
      <c r="E865" s="1">
        <v>45911</v>
      </c>
      <c r="F865">
        <v>5363.8</v>
      </c>
      <c r="G865">
        <v>7</v>
      </c>
      <c r="H865">
        <v>120</v>
      </c>
      <c r="I865" t="s">
        <v>14</v>
      </c>
      <c r="J865">
        <v>3755</v>
      </c>
      <c r="K865">
        <f t="shared" ca="1" si="78"/>
        <v>60</v>
      </c>
      <c r="L865">
        <f t="shared" ca="1" si="79"/>
        <v>0</v>
      </c>
      <c r="M865" t="str">
        <f t="shared" ca="1" si="80"/>
        <v>Medium</v>
      </c>
      <c r="N865">
        <f t="shared" ca="1" si="81"/>
        <v>12</v>
      </c>
      <c r="O865">
        <f t="shared" ca="1" si="82"/>
        <v>0</v>
      </c>
      <c r="P865">
        <f t="shared" ca="1" si="83"/>
        <v>5256.5240000000003</v>
      </c>
    </row>
    <row r="866" spans="1:16" x14ac:dyDescent="0.3">
      <c r="A866" t="s">
        <v>1296</v>
      </c>
      <c r="B866" t="s">
        <v>622</v>
      </c>
      <c r="C866" t="s">
        <v>12</v>
      </c>
      <c r="D866" t="s">
        <v>30</v>
      </c>
      <c r="E866" s="1">
        <v>46024</v>
      </c>
      <c r="F866">
        <v>31451.68</v>
      </c>
      <c r="G866">
        <v>6.19</v>
      </c>
      <c r="H866">
        <v>24</v>
      </c>
      <c r="I866" t="s">
        <v>14</v>
      </c>
      <c r="J866">
        <v>14782</v>
      </c>
      <c r="K866">
        <f t="shared" ca="1" si="78"/>
        <v>45</v>
      </c>
      <c r="L866">
        <f t="shared" ca="1" si="79"/>
        <v>0</v>
      </c>
      <c r="M866" t="str">
        <f t="shared" ca="1" si="80"/>
        <v>Medium</v>
      </c>
      <c r="N866">
        <f t="shared" ca="1" si="81"/>
        <v>1.2000000000000002</v>
      </c>
      <c r="O866">
        <f t="shared" ca="1" si="82"/>
        <v>0</v>
      </c>
      <c r="P866">
        <f t="shared" ca="1" si="83"/>
        <v>0</v>
      </c>
    </row>
    <row r="867" spans="1:16" x14ac:dyDescent="0.3">
      <c r="A867" t="s">
        <v>1297</v>
      </c>
      <c r="B867" t="s">
        <v>945</v>
      </c>
      <c r="C867" t="s">
        <v>39</v>
      </c>
      <c r="D867" t="s">
        <v>22</v>
      </c>
      <c r="E867" s="1">
        <v>45406</v>
      </c>
      <c r="F867">
        <v>22447.5</v>
      </c>
      <c r="G867">
        <v>5.5</v>
      </c>
      <c r="H867">
        <v>36</v>
      </c>
      <c r="I867" t="s">
        <v>19</v>
      </c>
      <c r="J867">
        <v>0</v>
      </c>
      <c r="K867">
        <f t="shared" ca="1" si="78"/>
        <v>0</v>
      </c>
      <c r="L867">
        <f t="shared" ca="1" si="79"/>
        <v>0</v>
      </c>
      <c r="M867" t="str">
        <f t="shared" ca="1" si="80"/>
        <v>Low</v>
      </c>
      <c r="N867">
        <f t="shared" ca="1" si="81"/>
        <v>0.36</v>
      </c>
      <c r="O867">
        <f t="shared" ca="1" si="82"/>
        <v>0</v>
      </c>
      <c r="P867">
        <f t="shared" ca="1" si="83"/>
        <v>17509.05</v>
      </c>
    </row>
    <row r="868" spans="1:16" x14ac:dyDescent="0.3">
      <c r="A868" t="s">
        <v>1298</v>
      </c>
      <c r="B868" t="s">
        <v>451</v>
      </c>
      <c r="C868" t="s">
        <v>123</v>
      </c>
      <c r="D868" t="s">
        <v>13</v>
      </c>
      <c r="E868" s="1">
        <v>45536</v>
      </c>
      <c r="F868">
        <v>28747.37</v>
      </c>
      <c r="G868">
        <v>11.91</v>
      </c>
      <c r="H868">
        <v>72</v>
      </c>
      <c r="I868" t="s">
        <v>14</v>
      </c>
      <c r="J868">
        <v>12936</v>
      </c>
      <c r="K868">
        <f t="shared" ca="1" si="78"/>
        <v>45</v>
      </c>
      <c r="L868">
        <f t="shared" ca="1" si="79"/>
        <v>0</v>
      </c>
      <c r="M868" t="str">
        <f t="shared" ca="1" si="80"/>
        <v>Medium</v>
      </c>
      <c r="N868">
        <f t="shared" ca="1" si="81"/>
        <v>3.6</v>
      </c>
      <c r="O868">
        <f t="shared" ca="1" si="82"/>
        <v>0</v>
      </c>
      <c r="P868">
        <f t="shared" ca="1" si="83"/>
        <v>0</v>
      </c>
    </row>
    <row r="869" spans="1:16" x14ac:dyDescent="0.3">
      <c r="A869" t="s">
        <v>1299</v>
      </c>
      <c r="B869" t="s">
        <v>78</v>
      </c>
      <c r="C869" t="s">
        <v>70</v>
      </c>
      <c r="D869" t="s">
        <v>30</v>
      </c>
      <c r="E869" s="1">
        <v>45432</v>
      </c>
      <c r="F869">
        <v>8709.0499999999993</v>
      </c>
      <c r="G869">
        <v>7.83</v>
      </c>
      <c r="H869">
        <v>12</v>
      </c>
      <c r="I869" t="s">
        <v>27</v>
      </c>
      <c r="J869">
        <v>0</v>
      </c>
      <c r="K869">
        <f t="shared" ca="1" si="78"/>
        <v>0</v>
      </c>
      <c r="L869">
        <f t="shared" ca="1" si="79"/>
        <v>0</v>
      </c>
      <c r="M869" t="str">
        <f t="shared" ca="1" si="80"/>
        <v>Low</v>
      </c>
      <c r="N869">
        <f t="shared" ca="1" si="81"/>
        <v>0.12</v>
      </c>
      <c r="O869">
        <f t="shared" ca="1" si="82"/>
        <v>0</v>
      </c>
      <c r="P869">
        <f t="shared" ca="1" si="83"/>
        <v>0</v>
      </c>
    </row>
    <row r="870" spans="1:16" x14ac:dyDescent="0.3">
      <c r="A870" t="s">
        <v>1300</v>
      </c>
      <c r="B870" t="s">
        <v>80</v>
      </c>
      <c r="C870" t="s">
        <v>51</v>
      </c>
      <c r="D870" t="s">
        <v>30</v>
      </c>
      <c r="E870" s="1">
        <v>45427</v>
      </c>
      <c r="F870">
        <v>84014.97</v>
      </c>
      <c r="G870">
        <v>4.03</v>
      </c>
      <c r="H870">
        <v>12</v>
      </c>
      <c r="I870" t="s">
        <v>19</v>
      </c>
      <c r="J870">
        <v>0</v>
      </c>
      <c r="K870">
        <f t="shared" ca="1" si="78"/>
        <v>0</v>
      </c>
      <c r="L870">
        <f t="shared" ca="1" si="79"/>
        <v>0</v>
      </c>
      <c r="M870" t="str">
        <f t="shared" ca="1" si="80"/>
        <v>Low</v>
      </c>
      <c r="N870">
        <f t="shared" ca="1" si="81"/>
        <v>0.12</v>
      </c>
      <c r="O870">
        <f t="shared" ca="1" si="82"/>
        <v>0</v>
      </c>
      <c r="P870">
        <f t="shared" ca="1" si="83"/>
        <v>0</v>
      </c>
    </row>
    <row r="871" spans="1:16" x14ac:dyDescent="0.3">
      <c r="A871" t="s">
        <v>1301</v>
      </c>
      <c r="B871" t="s">
        <v>837</v>
      </c>
      <c r="C871" t="s">
        <v>12</v>
      </c>
      <c r="D871" t="s">
        <v>26</v>
      </c>
      <c r="E871" s="1">
        <v>45360</v>
      </c>
      <c r="F871">
        <v>46145.05</v>
      </c>
      <c r="G871">
        <v>13.07</v>
      </c>
      <c r="H871">
        <v>60</v>
      </c>
      <c r="I871" t="s">
        <v>14</v>
      </c>
      <c r="J871">
        <v>35993</v>
      </c>
      <c r="K871">
        <f t="shared" ca="1" si="78"/>
        <v>45</v>
      </c>
      <c r="L871">
        <f t="shared" ca="1" si="79"/>
        <v>0</v>
      </c>
      <c r="M871" t="str">
        <f t="shared" ca="1" si="80"/>
        <v>Medium</v>
      </c>
      <c r="N871">
        <f t="shared" ca="1" si="81"/>
        <v>3</v>
      </c>
      <c r="O871">
        <f t="shared" ca="1" si="82"/>
        <v>0</v>
      </c>
      <c r="P871">
        <f t="shared" ca="1" si="83"/>
        <v>36454.589500000002</v>
      </c>
    </row>
    <row r="872" spans="1:16" x14ac:dyDescent="0.3">
      <c r="A872" t="s">
        <v>1302</v>
      </c>
      <c r="B872" t="s">
        <v>406</v>
      </c>
      <c r="C872" t="s">
        <v>123</v>
      </c>
      <c r="D872" t="s">
        <v>30</v>
      </c>
      <c r="E872" s="1">
        <v>45829</v>
      </c>
      <c r="F872">
        <v>68387.67</v>
      </c>
      <c r="G872">
        <v>17.579999999999998</v>
      </c>
      <c r="H872">
        <v>72</v>
      </c>
      <c r="I872" t="s">
        <v>14</v>
      </c>
      <c r="J872">
        <v>45136</v>
      </c>
      <c r="K872">
        <f t="shared" ca="1" si="78"/>
        <v>0</v>
      </c>
      <c r="L872">
        <f t="shared" ca="1" si="79"/>
        <v>0</v>
      </c>
      <c r="M872" t="str">
        <f t="shared" ca="1" si="80"/>
        <v>Low</v>
      </c>
      <c r="N872">
        <f t="shared" ca="1" si="81"/>
        <v>0.72</v>
      </c>
      <c r="O872">
        <f t="shared" ca="1" si="82"/>
        <v>0</v>
      </c>
      <c r="P872">
        <f t="shared" ca="1" si="83"/>
        <v>0</v>
      </c>
    </row>
    <row r="873" spans="1:16" x14ac:dyDescent="0.3">
      <c r="A873" t="s">
        <v>1303</v>
      </c>
      <c r="B873" t="s">
        <v>1022</v>
      </c>
      <c r="C873" t="s">
        <v>39</v>
      </c>
      <c r="D873" t="s">
        <v>13</v>
      </c>
      <c r="E873" s="1">
        <v>45391</v>
      </c>
      <c r="F873">
        <v>45134.28</v>
      </c>
      <c r="G873">
        <v>7.27</v>
      </c>
      <c r="H873">
        <v>120</v>
      </c>
      <c r="I873" t="s">
        <v>14</v>
      </c>
      <c r="J873">
        <v>33399</v>
      </c>
      <c r="K873">
        <f t="shared" ca="1" si="78"/>
        <v>0</v>
      </c>
      <c r="L873">
        <f t="shared" ca="1" si="79"/>
        <v>0</v>
      </c>
      <c r="M873" t="str">
        <f t="shared" ca="1" si="80"/>
        <v>Low</v>
      </c>
      <c r="N873">
        <f t="shared" ca="1" si="81"/>
        <v>1.2</v>
      </c>
      <c r="O873">
        <f t="shared" ca="1" si="82"/>
        <v>0</v>
      </c>
      <c r="P873">
        <f t="shared" ca="1" si="83"/>
        <v>0</v>
      </c>
    </row>
    <row r="874" spans="1:16" x14ac:dyDescent="0.3">
      <c r="A874" t="s">
        <v>1304</v>
      </c>
      <c r="B874" t="s">
        <v>152</v>
      </c>
      <c r="C874" t="s">
        <v>36</v>
      </c>
      <c r="D874" t="s">
        <v>75</v>
      </c>
      <c r="E874" s="1">
        <v>45371</v>
      </c>
      <c r="F874">
        <v>92596.86</v>
      </c>
      <c r="G874">
        <v>9.4700000000000006</v>
      </c>
      <c r="H874">
        <v>240</v>
      </c>
      <c r="I874" t="s">
        <v>14</v>
      </c>
      <c r="J874">
        <v>83337</v>
      </c>
      <c r="K874">
        <f t="shared" ca="1" si="78"/>
        <v>90</v>
      </c>
      <c r="L874">
        <f t="shared" ca="1" si="79"/>
        <v>1</v>
      </c>
      <c r="M874" t="str">
        <f t="shared" ca="1" si="80"/>
        <v>High</v>
      </c>
      <c r="N874">
        <f t="shared" ca="1" si="81"/>
        <v>60</v>
      </c>
      <c r="O874">
        <f t="shared" ca="1" si="82"/>
        <v>57.6</v>
      </c>
      <c r="P874">
        <f t="shared" ca="1" si="83"/>
        <v>118523.9808</v>
      </c>
    </row>
    <row r="875" spans="1:16" x14ac:dyDescent="0.3">
      <c r="A875" t="s">
        <v>1305</v>
      </c>
      <c r="B875" t="s">
        <v>945</v>
      </c>
      <c r="C875" t="s">
        <v>25</v>
      </c>
      <c r="D875" t="s">
        <v>18</v>
      </c>
      <c r="E875" s="1">
        <v>45775</v>
      </c>
      <c r="F875">
        <v>90958.14</v>
      </c>
      <c r="G875">
        <v>15.66</v>
      </c>
      <c r="H875">
        <v>12</v>
      </c>
      <c r="I875" t="s">
        <v>14</v>
      </c>
      <c r="J875">
        <v>62761</v>
      </c>
      <c r="K875">
        <f t="shared" ca="1" si="78"/>
        <v>60</v>
      </c>
      <c r="L875">
        <f t="shared" ca="1" si="79"/>
        <v>0</v>
      </c>
      <c r="M875" t="str">
        <f t="shared" ca="1" si="80"/>
        <v>Medium</v>
      </c>
      <c r="N875">
        <f t="shared" ca="1" si="81"/>
        <v>1.2000000000000002</v>
      </c>
      <c r="O875">
        <f t="shared" ca="1" si="82"/>
        <v>0</v>
      </c>
      <c r="P875">
        <f t="shared" ca="1" si="83"/>
        <v>0</v>
      </c>
    </row>
    <row r="876" spans="1:16" x14ac:dyDescent="0.3">
      <c r="A876" t="s">
        <v>1306</v>
      </c>
      <c r="B876" t="s">
        <v>222</v>
      </c>
      <c r="C876" t="s">
        <v>36</v>
      </c>
      <c r="D876" t="s">
        <v>30</v>
      </c>
      <c r="E876" s="1">
        <v>45575</v>
      </c>
      <c r="F876">
        <v>84620.12</v>
      </c>
      <c r="G876">
        <v>7.03</v>
      </c>
      <c r="H876">
        <v>180</v>
      </c>
      <c r="I876" t="s">
        <v>14</v>
      </c>
      <c r="J876">
        <v>42310</v>
      </c>
      <c r="K876">
        <f t="shared" ca="1" si="78"/>
        <v>90</v>
      </c>
      <c r="L876">
        <f t="shared" ca="1" si="79"/>
        <v>1</v>
      </c>
      <c r="M876" t="str">
        <f t="shared" ca="1" si="80"/>
        <v>High</v>
      </c>
      <c r="N876">
        <f t="shared" ca="1" si="81"/>
        <v>45</v>
      </c>
      <c r="O876">
        <f t="shared" ca="1" si="82"/>
        <v>9</v>
      </c>
      <c r="P876">
        <f t="shared" ca="1" si="83"/>
        <v>0</v>
      </c>
    </row>
    <row r="877" spans="1:16" x14ac:dyDescent="0.3">
      <c r="A877" t="s">
        <v>1307</v>
      </c>
      <c r="B877" t="s">
        <v>1308</v>
      </c>
      <c r="C877" t="s">
        <v>17</v>
      </c>
      <c r="D877" t="s">
        <v>30</v>
      </c>
      <c r="E877" s="1">
        <v>45382</v>
      </c>
      <c r="F877">
        <v>99842.17</v>
      </c>
      <c r="G877">
        <v>8.3699999999999992</v>
      </c>
      <c r="H877">
        <v>240</v>
      </c>
      <c r="I877" t="s">
        <v>27</v>
      </c>
      <c r="J877">
        <v>0</v>
      </c>
      <c r="K877">
        <f t="shared" ca="1" si="78"/>
        <v>0</v>
      </c>
      <c r="L877">
        <f t="shared" ca="1" si="79"/>
        <v>0</v>
      </c>
      <c r="M877" t="str">
        <f t="shared" ca="1" si="80"/>
        <v>Low</v>
      </c>
      <c r="N877">
        <f t="shared" ca="1" si="81"/>
        <v>2.4</v>
      </c>
      <c r="O877">
        <f t="shared" ca="1" si="82"/>
        <v>0</v>
      </c>
      <c r="P877">
        <f t="shared" ca="1" si="83"/>
        <v>0</v>
      </c>
    </row>
    <row r="878" spans="1:16" x14ac:dyDescent="0.3">
      <c r="A878" t="s">
        <v>1309</v>
      </c>
      <c r="B878" t="s">
        <v>465</v>
      </c>
      <c r="C878" t="s">
        <v>36</v>
      </c>
      <c r="D878" t="s">
        <v>13</v>
      </c>
      <c r="E878" s="1">
        <v>45628</v>
      </c>
      <c r="F878">
        <v>24401.5</v>
      </c>
      <c r="G878">
        <v>10.93</v>
      </c>
      <c r="H878">
        <v>84</v>
      </c>
      <c r="I878" t="s">
        <v>14</v>
      </c>
      <c r="J878">
        <v>12933</v>
      </c>
      <c r="K878">
        <f t="shared" ca="1" si="78"/>
        <v>0</v>
      </c>
      <c r="L878">
        <f t="shared" ca="1" si="79"/>
        <v>0</v>
      </c>
      <c r="M878" t="str">
        <f t="shared" ca="1" si="80"/>
        <v>Low</v>
      </c>
      <c r="N878">
        <f t="shared" ca="1" si="81"/>
        <v>0.84</v>
      </c>
      <c r="O878">
        <f t="shared" ca="1" si="82"/>
        <v>0</v>
      </c>
      <c r="P878">
        <f t="shared" ca="1" si="83"/>
        <v>0</v>
      </c>
    </row>
    <row r="879" spans="1:16" x14ac:dyDescent="0.3">
      <c r="A879" t="s">
        <v>1310</v>
      </c>
      <c r="B879" t="s">
        <v>112</v>
      </c>
      <c r="C879" t="s">
        <v>51</v>
      </c>
      <c r="D879" t="s">
        <v>22</v>
      </c>
      <c r="E879" s="1">
        <v>45576</v>
      </c>
      <c r="F879">
        <v>3435.57</v>
      </c>
      <c r="G879">
        <v>20.22</v>
      </c>
      <c r="H879">
        <v>60</v>
      </c>
      <c r="I879" t="s">
        <v>27</v>
      </c>
      <c r="J879">
        <v>0</v>
      </c>
      <c r="K879">
        <f t="shared" ca="1" si="78"/>
        <v>60</v>
      </c>
      <c r="L879">
        <f t="shared" ca="1" si="79"/>
        <v>0</v>
      </c>
      <c r="M879" t="str">
        <f t="shared" ca="1" si="80"/>
        <v>Medium</v>
      </c>
      <c r="N879">
        <f t="shared" ca="1" si="81"/>
        <v>6</v>
      </c>
      <c r="O879">
        <f t="shared" ca="1" si="82"/>
        <v>0</v>
      </c>
      <c r="P879">
        <f t="shared" ca="1" si="83"/>
        <v>4431.8852999999999</v>
      </c>
    </row>
    <row r="880" spans="1:16" x14ac:dyDescent="0.3">
      <c r="A880" t="s">
        <v>1311</v>
      </c>
      <c r="B880" t="s">
        <v>302</v>
      </c>
      <c r="C880" t="s">
        <v>25</v>
      </c>
      <c r="D880" t="s">
        <v>30</v>
      </c>
      <c r="E880" s="1">
        <v>45900</v>
      </c>
      <c r="F880">
        <v>47765.16</v>
      </c>
      <c r="G880">
        <v>7.76</v>
      </c>
      <c r="H880">
        <v>120</v>
      </c>
      <c r="I880" t="s">
        <v>19</v>
      </c>
      <c r="J880">
        <v>0</v>
      </c>
      <c r="K880">
        <f t="shared" ca="1" si="78"/>
        <v>0</v>
      </c>
      <c r="L880">
        <f t="shared" ca="1" si="79"/>
        <v>0</v>
      </c>
      <c r="M880" t="str">
        <f t="shared" ca="1" si="80"/>
        <v>Low</v>
      </c>
      <c r="N880">
        <f t="shared" ca="1" si="81"/>
        <v>1.2</v>
      </c>
      <c r="O880">
        <f t="shared" ca="1" si="82"/>
        <v>0</v>
      </c>
      <c r="P880">
        <f t="shared" ca="1" si="83"/>
        <v>0</v>
      </c>
    </row>
    <row r="881" spans="1:16" x14ac:dyDescent="0.3">
      <c r="A881" t="s">
        <v>1312</v>
      </c>
      <c r="B881" t="s">
        <v>1313</v>
      </c>
      <c r="C881" t="s">
        <v>12</v>
      </c>
      <c r="D881" t="s">
        <v>75</v>
      </c>
      <c r="E881" s="1">
        <v>45426</v>
      </c>
      <c r="F881">
        <v>65582.12</v>
      </c>
      <c r="G881">
        <v>18.05</v>
      </c>
      <c r="H881">
        <v>48</v>
      </c>
      <c r="I881" t="s">
        <v>27</v>
      </c>
      <c r="J881">
        <v>0</v>
      </c>
      <c r="K881">
        <f t="shared" ca="1" si="78"/>
        <v>0</v>
      </c>
      <c r="L881">
        <f t="shared" ca="1" si="79"/>
        <v>0</v>
      </c>
      <c r="M881" t="str">
        <f t="shared" ca="1" si="80"/>
        <v>Low</v>
      </c>
      <c r="N881">
        <f t="shared" ca="1" si="81"/>
        <v>0.48</v>
      </c>
      <c r="O881">
        <f t="shared" ca="1" si="82"/>
        <v>0</v>
      </c>
      <c r="P881">
        <f t="shared" ca="1" si="83"/>
        <v>47874.9476</v>
      </c>
    </row>
    <row r="882" spans="1:16" x14ac:dyDescent="0.3">
      <c r="A882" t="s">
        <v>1314</v>
      </c>
      <c r="B882" t="s">
        <v>598</v>
      </c>
      <c r="C882" t="s">
        <v>17</v>
      </c>
      <c r="D882" t="s">
        <v>13</v>
      </c>
      <c r="E882" s="1">
        <v>45894</v>
      </c>
      <c r="F882">
        <v>92000.94</v>
      </c>
      <c r="G882">
        <v>20.68</v>
      </c>
      <c r="H882">
        <v>360</v>
      </c>
      <c r="I882" t="s">
        <v>14</v>
      </c>
      <c r="J882">
        <v>34040</v>
      </c>
      <c r="K882">
        <f t="shared" ca="1" si="78"/>
        <v>0</v>
      </c>
      <c r="L882">
        <f t="shared" ca="1" si="79"/>
        <v>0</v>
      </c>
      <c r="M882" t="str">
        <f t="shared" ca="1" si="80"/>
        <v>Low</v>
      </c>
      <c r="N882">
        <f t="shared" ca="1" si="81"/>
        <v>3.6</v>
      </c>
      <c r="O882">
        <f t="shared" ca="1" si="82"/>
        <v>0</v>
      </c>
      <c r="P882">
        <f t="shared" ca="1" si="83"/>
        <v>0</v>
      </c>
    </row>
    <row r="883" spans="1:16" x14ac:dyDescent="0.3">
      <c r="A883" t="s">
        <v>1315</v>
      </c>
      <c r="B883" t="s">
        <v>144</v>
      </c>
      <c r="C883" t="s">
        <v>123</v>
      </c>
      <c r="D883" t="s">
        <v>18</v>
      </c>
      <c r="E883" s="1">
        <v>45535</v>
      </c>
      <c r="F883">
        <v>56290.48</v>
      </c>
      <c r="G883">
        <v>21.79</v>
      </c>
      <c r="H883">
        <v>84</v>
      </c>
      <c r="I883" t="s">
        <v>14</v>
      </c>
      <c r="J883">
        <v>35463</v>
      </c>
      <c r="K883">
        <f t="shared" ca="1" si="78"/>
        <v>90</v>
      </c>
      <c r="L883">
        <f t="shared" ca="1" si="79"/>
        <v>1</v>
      </c>
      <c r="M883" t="str">
        <f t="shared" ca="1" si="80"/>
        <v>High</v>
      </c>
      <c r="N883">
        <f t="shared" ca="1" si="81"/>
        <v>21</v>
      </c>
      <c r="O883">
        <f t="shared" ca="1" si="82"/>
        <v>19.32</v>
      </c>
      <c r="P883">
        <f t="shared" ca="1" si="83"/>
        <v>0</v>
      </c>
    </row>
    <row r="884" spans="1:16" x14ac:dyDescent="0.3">
      <c r="A884" t="s">
        <v>1316</v>
      </c>
      <c r="B884" t="s">
        <v>1317</v>
      </c>
      <c r="C884" t="s">
        <v>123</v>
      </c>
      <c r="D884" t="s">
        <v>22</v>
      </c>
      <c r="E884" s="1">
        <v>45398</v>
      </c>
      <c r="F884">
        <v>92614.98</v>
      </c>
      <c r="G884">
        <v>5.65</v>
      </c>
      <c r="H884">
        <v>72</v>
      </c>
      <c r="I884" t="s">
        <v>14</v>
      </c>
      <c r="J884">
        <v>85206</v>
      </c>
      <c r="K884">
        <f t="shared" ca="1" si="78"/>
        <v>0</v>
      </c>
      <c r="L884">
        <f t="shared" ca="1" si="79"/>
        <v>0</v>
      </c>
      <c r="M884" t="str">
        <f t="shared" ca="1" si="80"/>
        <v>Low</v>
      </c>
      <c r="N884">
        <f t="shared" ca="1" si="81"/>
        <v>0.72</v>
      </c>
      <c r="O884">
        <f t="shared" ca="1" si="82"/>
        <v>0</v>
      </c>
      <c r="P884">
        <f t="shared" ca="1" si="83"/>
        <v>88910.380799999999</v>
      </c>
    </row>
    <row r="885" spans="1:16" x14ac:dyDescent="0.3">
      <c r="A885" t="s">
        <v>1318</v>
      </c>
      <c r="B885" t="s">
        <v>1319</v>
      </c>
      <c r="C885" t="s">
        <v>39</v>
      </c>
      <c r="D885" t="s">
        <v>75</v>
      </c>
      <c r="E885" s="1">
        <v>46148</v>
      </c>
      <c r="F885">
        <v>96854.9</v>
      </c>
      <c r="G885">
        <v>15.94</v>
      </c>
      <c r="H885">
        <v>60</v>
      </c>
      <c r="I885" t="s">
        <v>19</v>
      </c>
      <c r="J885">
        <v>0</v>
      </c>
      <c r="K885">
        <f t="shared" ca="1" si="78"/>
        <v>0</v>
      </c>
      <c r="L885">
        <f t="shared" ca="1" si="79"/>
        <v>0</v>
      </c>
      <c r="M885" t="str">
        <f t="shared" ca="1" si="80"/>
        <v>Low</v>
      </c>
      <c r="N885">
        <f t="shared" ca="1" si="81"/>
        <v>0.6</v>
      </c>
      <c r="O885">
        <f t="shared" ca="1" si="82"/>
        <v>0</v>
      </c>
      <c r="P885">
        <f t="shared" ca="1" si="83"/>
        <v>101697.645</v>
      </c>
    </row>
    <row r="886" spans="1:16" x14ac:dyDescent="0.3">
      <c r="A886" t="s">
        <v>1320</v>
      </c>
      <c r="B886" t="s">
        <v>277</v>
      </c>
      <c r="C886" t="s">
        <v>51</v>
      </c>
      <c r="D886" t="s">
        <v>30</v>
      </c>
      <c r="E886" s="1">
        <v>45302</v>
      </c>
      <c r="F886">
        <v>44209.73</v>
      </c>
      <c r="G886">
        <v>11.52</v>
      </c>
      <c r="H886">
        <v>240</v>
      </c>
      <c r="I886" t="s">
        <v>19</v>
      </c>
      <c r="J886">
        <v>0</v>
      </c>
      <c r="K886">
        <f t="shared" ca="1" si="78"/>
        <v>0</v>
      </c>
      <c r="L886">
        <f t="shared" ca="1" si="79"/>
        <v>0</v>
      </c>
      <c r="M886" t="str">
        <f t="shared" ca="1" si="80"/>
        <v>Low</v>
      </c>
      <c r="N886">
        <f t="shared" ca="1" si="81"/>
        <v>2.4</v>
      </c>
      <c r="O886">
        <f t="shared" ca="1" si="82"/>
        <v>0</v>
      </c>
      <c r="P886">
        <f t="shared" ca="1" si="83"/>
        <v>0</v>
      </c>
    </row>
    <row r="887" spans="1:16" x14ac:dyDescent="0.3">
      <c r="A887" t="s">
        <v>1321</v>
      </c>
      <c r="B887" t="s">
        <v>150</v>
      </c>
      <c r="C887" t="s">
        <v>39</v>
      </c>
      <c r="D887" t="s">
        <v>30</v>
      </c>
      <c r="E887" s="1">
        <v>46151</v>
      </c>
      <c r="F887">
        <v>43928.18</v>
      </c>
      <c r="G887">
        <v>21.5</v>
      </c>
      <c r="H887">
        <v>60</v>
      </c>
      <c r="I887" t="s">
        <v>14</v>
      </c>
      <c r="J887">
        <v>20207</v>
      </c>
      <c r="K887">
        <f t="shared" ca="1" si="78"/>
        <v>90</v>
      </c>
      <c r="L887">
        <f t="shared" ca="1" si="79"/>
        <v>1</v>
      </c>
      <c r="M887" t="str">
        <f t="shared" ca="1" si="80"/>
        <v>High</v>
      </c>
      <c r="N887">
        <f t="shared" ca="1" si="81"/>
        <v>15</v>
      </c>
      <c r="O887">
        <f t="shared" ca="1" si="82"/>
        <v>12.6</v>
      </c>
      <c r="P887">
        <f t="shared" ca="1" si="83"/>
        <v>0</v>
      </c>
    </row>
    <row r="888" spans="1:16" x14ac:dyDescent="0.3">
      <c r="A888" t="s">
        <v>1322</v>
      </c>
      <c r="B888" t="s">
        <v>140</v>
      </c>
      <c r="C888" t="s">
        <v>39</v>
      </c>
      <c r="D888" t="s">
        <v>75</v>
      </c>
      <c r="E888" s="1">
        <v>45453</v>
      </c>
      <c r="F888">
        <v>85036.62</v>
      </c>
      <c r="G888">
        <v>9.98</v>
      </c>
      <c r="H888">
        <v>60</v>
      </c>
      <c r="I888" t="s">
        <v>14</v>
      </c>
      <c r="J888">
        <v>49321</v>
      </c>
      <c r="K888">
        <f t="shared" ca="1" si="78"/>
        <v>60</v>
      </c>
      <c r="L888">
        <f t="shared" ca="1" si="79"/>
        <v>0</v>
      </c>
      <c r="M888" t="str">
        <f t="shared" ca="1" si="80"/>
        <v>Medium</v>
      </c>
      <c r="N888">
        <f t="shared" ca="1" si="81"/>
        <v>6</v>
      </c>
      <c r="O888">
        <f t="shared" ca="1" si="82"/>
        <v>0</v>
      </c>
      <c r="P888">
        <f t="shared" ca="1" si="83"/>
        <v>91839.549599999984</v>
      </c>
    </row>
    <row r="889" spans="1:16" x14ac:dyDescent="0.3">
      <c r="A889" t="s">
        <v>1323</v>
      </c>
      <c r="B889" t="s">
        <v>61</v>
      </c>
      <c r="C889" t="s">
        <v>70</v>
      </c>
      <c r="D889" t="s">
        <v>30</v>
      </c>
      <c r="E889" s="1">
        <v>46078</v>
      </c>
      <c r="F889">
        <v>2887.33</v>
      </c>
      <c r="G889">
        <v>15.97</v>
      </c>
      <c r="H889">
        <v>360</v>
      </c>
      <c r="I889" t="s">
        <v>14</v>
      </c>
      <c r="J889">
        <v>2079</v>
      </c>
      <c r="K889">
        <f t="shared" ca="1" si="78"/>
        <v>45</v>
      </c>
      <c r="L889">
        <f t="shared" ca="1" si="79"/>
        <v>0</v>
      </c>
      <c r="M889" t="str">
        <f t="shared" ca="1" si="80"/>
        <v>Medium</v>
      </c>
      <c r="N889">
        <f t="shared" ca="1" si="81"/>
        <v>18</v>
      </c>
      <c r="O889">
        <f t="shared" ca="1" si="82"/>
        <v>0</v>
      </c>
      <c r="P889">
        <f t="shared" ca="1" si="83"/>
        <v>0</v>
      </c>
    </row>
    <row r="890" spans="1:16" x14ac:dyDescent="0.3">
      <c r="A890" t="s">
        <v>1324</v>
      </c>
      <c r="B890" t="s">
        <v>839</v>
      </c>
      <c r="C890" t="s">
        <v>36</v>
      </c>
      <c r="D890" t="s">
        <v>30</v>
      </c>
      <c r="E890" s="1">
        <v>45636</v>
      </c>
      <c r="F890">
        <v>58784.2</v>
      </c>
      <c r="G890">
        <v>20.84</v>
      </c>
      <c r="H890">
        <v>180</v>
      </c>
      <c r="I890" t="s">
        <v>27</v>
      </c>
      <c r="J890">
        <v>0</v>
      </c>
      <c r="K890">
        <f t="shared" ca="1" si="78"/>
        <v>45</v>
      </c>
      <c r="L890">
        <f t="shared" ca="1" si="79"/>
        <v>0</v>
      </c>
      <c r="M890" t="str">
        <f t="shared" ca="1" si="80"/>
        <v>Medium</v>
      </c>
      <c r="N890">
        <f t="shared" ca="1" si="81"/>
        <v>9</v>
      </c>
      <c r="O890">
        <f t="shared" ca="1" si="82"/>
        <v>0</v>
      </c>
      <c r="P890">
        <f t="shared" ca="1" si="83"/>
        <v>0</v>
      </c>
    </row>
    <row r="891" spans="1:16" x14ac:dyDescent="0.3">
      <c r="A891" t="s">
        <v>1325</v>
      </c>
      <c r="B891" t="s">
        <v>94</v>
      </c>
      <c r="C891" t="s">
        <v>17</v>
      </c>
      <c r="D891" t="s">
        <v>30</v>
      </c>
      <c r="E891" s="1">
        <v>45329</v>
      </c>
      <c r="F891">
        <v>41803.11</v>
      </c>
      <c r="G891">
        <v>15.14</v>
      </c>
      <c r="H891">
        <v>24</v>
      </c>
      <c r="I891" t="s">
        <v>14</v>
      </c>
      <c r="J891">
        <v>19647</v>
      </c>
      <c r="K891">
        <f t="shared" ca="1" si="78"/>
        <v>0</v>
      </c>
      <c r="L891">
        <f t="shared" ca="1" si="79"/>
        <v>0</v>
      </c>
      <c r="M891" t="str">
        <f t="shared" ca="1" si="80"/>
        <v>Low</v>
      </c>
      <c r="N891">
        <f t="shared" ca="1" si="81"/>
        <v>0.24</v>
      </c>
      <c r="O891">
        <f t="shared" ca="1" si="82"/>
        <v>0</v>
      </c>
      <c r="P891">
        <f t="shared" ca="1" si="83"/>
        <v>0</v>
      </c>
    </row>
    <row r="892" spans="1:16" x14ac:dyDescent="0.3">
      <c r="A892" t="s">
        <v>1326</v>
      </c>
      <c r="B892" t="s">
        <v>35</v>
      </c>
      <c r="C892" t="s">
        <v>39</v>
      </c>
      <c r="D892" t="s">
        <v>75</v>
      </c>
      <c r="E892" s="1">
        <v>46045</v>
      </c>
      <c r="F892">
        <v>53091.199999999997</v>
      </c>
      <c r="G892">
        <v>7.21</v>
      </c>
      <c r="H892">
        <v>84</v>
      </c>
      <c r="I892" t="s">
        <v>14</v>
      </c>
      <c r="J892">
        <v>27607</v>
      </c>
      <c r="K892">
        <f t="shared" ca="1" si="78"/>
        <v>90</v>
      </c>
      <c r="L892">
        <f t="shared" ca="1" si="79"/>
        <v>1</v>
      </c>
      <c r="M892" t="str">
        <f t="shared" ca="1" si="80"/>
        <v>High</v>
      </c>
      <c r="N892">
        <f t="shared" ca="1" si="81"/>
        <v>21</v>
      </c>
      <c r="O892">
        <f t="shared" ca="1" si="82"/>
        <v>6.72</v>
      </c>
      <c r="P892">
        <f t="shared" ca="1" si="83"/>
        <v>63709.440000000002</v>
      </c>
    </row>
    <row r="893" spans="1:16" x14ac:dyDescent="0.3">
      <c r="A893" t="s">
        <v>1327</v>
      </c>
      <c r="B893" t="s">
        <v>296</v>
      </c>
      <c r="C893" t="s">
        <v>123</v>
      </c>
      <c r="D893" t="s">
        <v>30</v>
      </c>
      <c r="E893" s="1">
        <v>46137</v>
      </c>
      <c r="F893">
        <v>92055.6</v>
      </c>
      <c r="G893">
        <v>15.85</v>
      </c>
      <c r="H893">
        <v>84</v>
      </c>
      <c r="I893" t="s">
        <v>14</v>
      </c>
      <c r="J893">
        <v>65359</v>
      </c>
      <c r="K893">
        <f t="shared" ca="1" si="78"/>
        <v>90</v>
      </c>
      <c r="L893">
        <f t="shared" ca="1" si="79"/>
        <v>1</v>
      </c>
      <c r="M893" t="str">
        <f t="shared" ca="1" si="80"/>
        <v>High</v>
      </c>
      <c r="N893">
        <f t="shared" ca="1" si="81"/>
        <v>21</v>
      </c>
      <c r="O893">
        <f t="shared" ca="1" si="82"/>
        <v>9.24</v>
      </c>
      <c r="P893">
        <f t="shared" ca="1" si="83"/>
        <v>0</v>
      </c>
    </row>
    <row r="894" spans="1:16" x14ac:dyDescent="0.3">
      <c r="A894" t="s">
        <v>1328</v>
      </c>
      <c r="B894" t="s">
        <v>529</v>
      </c>
      <c r="C894" t="s">
        <v>25</v>
      </c>
      <c r="D894" t="s">
        <v>18</v>
      </c>
      <c r="E894" s="1">
        <v>45862</v>
      </c>
      <c r="F894">
        <v>67719.259999999995</v>
      </c>
      <c r="G894">
        <v>21.54</v>
      </c>
      <c r="H894">
        <v>180</v>
      </c>
      <c r="I894" t="s">
        <v>14</v>
      </c>
      <c r="J894">
        <v>25056</v>
      </c>
      <c r="K894">
        <f t="shared" ca="1" si="78"/>
        <v>30</v>
      </c>
      <c r="L894">
        <f t="shared" ca="1" si="79"/>
        <v>0</v>
      </c>
      <c r="M894" t="str">
        <f t="shared" ca="1" si="80"/>
        <v>Medium</v>
      </c>
      <c r="N894">
        <f t="shared" ca="1" si="81"/>
        <v>9</v>
      </c>
      <c r="O894">
        <f t="shared" ca="1" si="82"/>
        <v>0</v>
      </c>
      <c r="P894">
        <f t="shared" ca="1" si="83"/>
        <v>0</v>
      </c>
    </row>
    <row r="895" spans="1:16" x14ac:dyDescent="0.3">
      <c r="A895" t="s">
        <v>1329</v>
      </c>
      <c r="B895" t="s">
        <v>1209</v>
      </c>
      <c r="C895" t="s">
        <v>25</v>
      </c>
      <c r="D895" t="s">
        <v>13</v>
      </c>
      <c r="E895" s="1">
        <v>45765</v>
      </c>
      <c r="F895">
        <v>6045.76</v>
      </c>
      <c r="G895">
        <v>5.1100000000000003</v>
      </c>
      <c r="H895">
        <v>48</v>
      </c>
      <c r="I895" t="s">
        <v>19</v>
      </c>
      <c r="J895">
        <v>0</v>
      </c>
      <c r="K895">
        <f t="shared" ca="1" si="78"/>
        <v>0</v>
      </c>
      <c r="L895">
        <f t="shared" ca="1" si="79"/>
        <v>0</v>
      </c>
      <c r="M895" t="str">
        <f t="shared" ca="1" si="80"/>
        <v>Low</v>
      </c>
      <c r="N895">
        <f t="shared" ca="1" si="81"/>
        <v>0.48</v>
      </c>
      <c r="O895">
        <f t="shared" ca="1" si="82"/>
        <v>0</v>
      </c>
      <c r="P895">
        <f t="shared" ca="1" si="83"/>
        <v>0</v>
      </c>
    </row>
    <row r="896" spans="1:16" x14ac:dyDescent="0.3">
      <c r="A896" t="s">
        <v>1330</v>
      </c>
      <c r="B896" t="s">
        <v>1331</v>
      </c>
      <c r="C896" t="s">
        <v>36</v>
      </c>
      <c r="D896" t="s">
        <v>13</v>
      </c>
      <c r="E896" s="1">
        <v>46037</v>
      </c>
      <c r="F896">
        <v>17036.72</v>
      </c>
      <c r="G896">
        <v>14.46</v>
      </c>
      <c r="H896">
        <v>72</v>
      </c>
      <c r="I896" t="s">
        <v>27</v>
      </c>
      <c r="J896">
        <v>0</v>
      </c>
      <c r="K896">
        <f t="shared" ca="1" si="78"/>
        <v>0</v>
      </c>
      <c r="L896">
        <f t="shared" ca="1" si="79"/>
        <v>0</v>
      </c>
      <c r="M896" t="str">
        <f t="shared" ca="1" si="80"/>
        <v>Low</v>
      </c>
      <c r="N896">
        <f t="shared" ca="1" si="81"/>
        <v>0.72</v>
      </c>
      <c r="O896">
        <f t="shared" ca="1" si="82"/>
        <v>0</v>
      </c>
      <c r="P896">
        <f t="shared" ca="1" si="83"/>
        <v>0</v>
      </c>
    </row>
    <row r="897" spans="1:16" x14ac:dyDescent="0.3">
      <c r="A897" t="s">
        <v>1332</v>
      </c>
      <c r="B897" t="s">
        <v>1333</v>
      </c>
      <c r="C897" t="s">
        <v>33</v>
      </c>
      <c r="D897" t="s">
        <v>30</v>
      </c>
      <c r="E897" s="1">
        <v>45624</v>
      </c>
      <c r="F897">
        <v>37697.33</v>
      </c>
      <c r="G897">
        <v>21.27</v>
      </c>
      <c r="H897">
        <v>72</v>
      </c>
      <c r="I897" t="s">
        <v>27</v>
      </c>
      <c r="J897">
        <v>0</v>
      </c>
      <c r="K897">
        <f t="shared" ca="1" si="78"/>
        <v>0</v>
      </c>
      <c r="L897">
        <f t="shared" ca="1" si="79"/>
        <v>0</v>
      </c>
      <c r="M897" t="str">
        <f t="shared" ca="1" si="80"/>
        <v>Low</v>
      </c>
      <c r="N897">
        <f t="shared" ca="1" si="81"/>
        <v>0.72</v>
      </c>
      <c r="O897">
        <f t="shared" ca="1" si="82"/>
        <v>0</v>
      </c>
      <c r="P897">
        <f t="shared" ca="1" si="83"/>
        <v>0</v>
      </c>
    </row>
    <row r="898" spans="1:16" x14ac:dyDescent="0.3">
      <c r="A898" t="s">
        <v>1334</v>
      </c>
      <c r="B898" t="s">
        <v>1335</v>
      </c>
      <c r="C898" t="s">
        <v>33</v>
      </c>
      <c r="D898" t="s">
        <v>30</v>
      </c>
      <c r="E898" s="1">
        <v>45520</v>
      </c>
      <c r="F898">
        <v>21173</v>
      </c>
      <c r="G898">
        <v>19.97</v>
      </c>
      <c r="H898">
        <v>24</v>
      </c>
      <c r="I898" t="s">
        <v>27</v>
      </c>
      <c r="J898">
        <v>0</v>
      </c>
      <c r="K898">
        <f t="shared" ca="1" si="78"/>
        <v>45</v>
      </c>
      <c r="L898">
        <f t="shared" ca="1" si="79"/>
        <v>0</v>
      </c>
      <c r="M898" t="str">
        <f t="shared" ca="1" si="80"/>
        <v>Medium</v>
      </c>
      <c r="N898">
        <f t="shared" ca="1" si="81"/>
        <v>1.2000000000000002</v>
      </c>
      <c r="O898">
        <f t="shared" ca="1" si="82"/>
        <v>0</v>
      </c>
      <c r="P898">
        <f t="shared" ca="1" si="83"/>
        <v>0</v>
      </c>
    </row>
    <row r="899" spans="1:16" x14ac:dyDescent="0.3">
      <c r="A899" t="s">
        <v>1336</v>
      </c>
      <c r="B899" t="s">
        <v>142</v>
      </c>
      <c r="C899" t="s">
        <v>33</v>
      </c>
      <c r="D899" t="s">
        <v>30</v>
      </c>
      <c r="E899" s="1">
        <v>45907</v>
      </c>
      <c r="F899">
        <v>37837.82</v>
      </c>
      <c r="G899">
        <v>9.0399999999999991</v>
      </c>
      <c r="H899">
        <v>84</v>
      </c>
      <c r="I899" t="s">
        <v>14</v>
      </c>
      <c r="J899">
        <v>32162</v>
      </c>
      <c r="K899">
        <f t="shared" ref="K899:K962" ca="1" si="84">IF(I899="Paid Off",0,CHOOSE(RANDBETWEEN(1,10),0,0,0,0,15,30,45,60,90,120))</f>
        <v>60</v>
      </c>
      <c r="L899">
        <f t="shared" ref="L899:L962" ca="1" si="85">IF(K899&gt;=90,1,0)</f>
        <v>0</v>
      </c>
      <c r="M899" t="str">
        <f t="shared" ref="M899:M962" ca="1" si="86">IF(K899&gt;=90,"High",IF(K899&gt;=30,"Medium","Low"))</f>
        <v>Medium</v>
      </c>
      <c r="N899">
        <f t="shared" ref="N899:N962" ca="1" si="87">IF(L899=1,H899*0.25,IF(K899&gt;=60,H899*0.1,IF(K899&gt;=30,H899*0.05,H899*0.01)))</f>
        <v>8.4</v>
      </c>
      <c r="O899">
        <f t="shared" ref="O899:O962" ca="1" si="88">IF(L899=1,H899*RANDBETWEEN(5,30)/100,0)</f>
        <v>0</v>
      </c>
      <c r="P899">
        <f t="shared" ref="P899:P962" ca="1" si="89">IF(OR(D899="P02",D899="P03",D899="P05"),F899*RANDBETWEEN(70,130)/100,0)</f>
        <v>0</v>
      </c>
    </row>
    <row r="900" spans="1:16" x14ac:dyDescent="0.3">
      <c r="A900" t="s">
        <v>1337</v>
      </c>
      <c r="B900" t="s">
        <v>683</v>
      </c>
      <c r="C900" t="s">
        <v>39</v>
      </c>
      <c r="D900" t="s">
        <v>13</v>
      </c>
      <c r="E900" s="1">
        <v>45780</v>
      </c>
      <c r="F900">
        <v>48072.58</v>
      </c>
      <c r="G900">
        <v>17.05</v>
      </c>
      <c r="H900">
        <v>24</v>
      </c>
      <c r="I900" t="s">
        <v>27</v>
      </c>
      <c r="J900">
        <v>0</v>
      </c>
      <c r="K900">
        <f t="shared" ca="1" si="84"/>
        <v>0</v>
      </c>
      <c r="L900">
        <f t="shared" ca="1" si="85"/>
        <v>0</v>
      </c>
      <c r="M900" t="str">
        <f t="shared" ca="1" si="86"/>
        <v>Low</v>
      </c>
      <c r="N900">
        <f t="shared" ca="1" si="87"/>
        <v>0.24</v>
      </c>
      <c r="O900">
        <f t="shared" ca="1" si="88"/>
        <v>0</v>
      </c>
      <c r="P900">
        <f t="shared" ca="1" si="89"/>
        <v>0</v>
      </c>
    </row>
    <row r="901" spans="1:16" x14ac:dyDescent="0.3">
      <c r="A901" t="s">
        <v>1338</v>
      </c>
      <c r="B901" t="s">
        <v>125</v>
      </c>
      <c r="C901" t="s">
        <v>70</v>
      </c>
      <c r="D901" t="s">
        <v>26</v>
      </c>
      <c r="E901" s="1">
        <v>45872</v>
      </c>
      <c r="F901">
        <v>7478.74</v>
      </c>
      <c r="G901">
        <v>12.64</v>
      </c>
      <c r="H901">
        <v>72</v>
      </c>
      <c r="I901" t="s">
        <v>14</v>
      </c>
      <c r="J901">
        <v>4637</v>
      </c>
      <c r="K901">
        <f t="shared" ca="1" si="84"/>
        <v>0</v>
      </c>
      <c r="L901">
        <f t="shared" ca="1" si="85"/>
        <v>0</v>
      </c>
      <c r="M901" t="str">
        <f t="shared" ca="1" si="86"/>
        <v>Low</v>
      </c>
      <c r="N901">
        <f t="shared" ca="1" si="87"/>
        <v>0.72</v>
      </c>
      <c r="O901">
        <f t="shared" ca="1" si="88"/>
        <v>0</v>
      </c>
      <c r="P901">
        <f t="shared" ca="1" si="89"/>
        <v>9273.6376</v>
      </c>
    </row>
    <row r="902" spans="1:16" x14ac:dyDescent="0.3">
      <c r="A902" t="s">
        <v>1339</v>
      </c>
      <c r="B902" t="s">
        <v>99</v>
      </c>
      <c r="C902" t="s">
        <v>123</v>
      </c>
      <c r="D902" t="s">
        <v>75</v>
      </c>
      <c r="E902" s="1">
        <v>45801</v>
      </c>
      <c r="F902">
        <v>16860.87</v>
      </c>
      <c r="G902">
        <v>14.99</v>
      </c>
      <c r="H902">
        <v>120</v>
      </c>
      <c r="I902" t="s">
        <v>14</v>
      </c>
      <c r="J902">
        <v>11465</v>
      </c>
      <c r="K902">
        <f t="shared" ca="1" si="84"/>
        <v>90</v>
      </c>
      <c r="L902">
        <f t="shared" ca="1" si="85"/>
        <v>1</v>
      </c>
      <c r="M902" t="str">
        <f t="shared" ca="1" si="86"/>
        <v>High</v>
      </c>
      <c r="N902">
        <f t="shared" ca="1" si="87"/>
        <v>30</v>
      </c>
      <c r="O902">
        <f t="shared" ca="1" si="88"/>
        <v>30</v>
      </c>
      <c r="P902">
        <f t="shared" ca="1" si="89"/>
        <v>18715.565699999999</v>
      </c>
    </row>
    <row r="903" spans="1:16" x14ac:dyDescent="0.3">
      <c r="A903" t="s">
        <v>1340</v>
      </c>
      <c r="B903" t="s">
        <v>842</v>
      </c>
      <c r="C903" t="s">
        <v>51</v>
      </c>
      <c r="D903" t="s">
        <v>22</v>
      </c>
      <c r="E903" s="1">
        <v>45646</v>
      </c>
      <c r="F903">
        <v>18802.150000000001</v>
      </c>
      <c r="G903">
        <v>14.93</v>
      </c>
      <c r="H903">
        <v>36</v>
      </c>
      <c r="I903" t="s">
        <v>27</v>
      </c>
      <c r="J903">
        <v>0</v>
      </c>
      <c r="K903">
        <f t="shared" ca="1" si="84"/>
        <v>45</v>
      </c>
      <c r="L903">
        <f t="shared" ca="1" si="85"/>
        <v>0</v>
      </c>
      <c r="M903" t="str">
        <f t="shared" ca="1" si="86"/>
        <v>Medium</v>
      </c>
      <c r="N903">
        <f t="shared" ca="1" si="87"/>
        <v>1.8</v>
      </c>
      <c r="O903">
        <f t="shared" ca="1" si="88"/>
        <v>0</v>
      </c>
      <c r="P903">
        <f t="shared" ca="1" si="89"/>
        <v>20870.386500000001</v>
      </c>
    </row>
    <row r="904" spans="1:16" x14ac:dyDescent="0.3">
      <c r="A904" t="s">
        <v>1341</v>
      </c>
      <c r="B904" t="s">
        <v>1342</v>
      </c>
      <c r="C904" t="s">
        <v>54</v>
      </c>
      <c r="D904" t="s">
        <v>26</v>
      </c>
      <c r="E904" s="1">
        <v>45470</v>
      </c>
      <c r="F904">
        <v>87882.59</v>
      </c>
      <c r="G904">
        <v>8.66</v>
      </c>
      <c r="H904">
        <v>24</v>
      </c>
      <c r="I904" t="s">
        <v>14</v>
      </c>
      <c r="J904">
        <v>61518</v>
      </c>
      <c r="K904">
        <f t="shared" ca="1" si="84"/>
        <v>30</v>
      </c>
      <c r="L904">
        <f t="shared" ca="1" si="85"/>
        <v>0</v>
      </c>
      <c r="M904" t="str">
        <f t="shared" ca="1" si="86"/>
        <v>Medium</v>
      </c>
      <c r="N904">
        <f t="shared" ca="1" si="87"/>
        <v>1.2000000000000002</v>
      </c>
      <c r="O904">
        <f t="shared" ca="1" si="88"/>
        <v>0</v>
      </c>
      <c r="P904">
        <f t="shared" ca="1" si="89"/>
        <v>79973.156900000002</v>
      </c>
    </row>
    <row r="905" spans="1:16" x14ac:dyDescent="0.3">
      <c r="A905" t="s">
        <v>1343</v>
      </c>
      <c r="B905" t="s">
        <v>1236</v>
      </c>
      <c r="C905" t="s">
        <v>17</v>
      </c>
      <c r="D905" t="s">
        <v>22</v>
      </c>
      <c r="E905" s="1">
        <v>45502</v>
      </c>
      <c r="F905">
        <v>45896.639999999999</v>
      </c>
      <c r="G905">
        <v>5.35</v>
      </c>
      <c r="H905">
        <v>360</v>
      </c>
      <c r="I905" t="s">
        <v>27</v>
      </c>
      <c r="J905">
        <v>0</v>
      </c>
      <c r="K905">
        <f t="shared" ca="1" si="84"/>
        <v>0</v>
      </c>
      <c r="L905">
        <f t="shared" ca="1" si="85"/>
        <v>0</v>
      </c>
      <c r="M905" t="str">
        <f t="shared" ca="1" si="86"/>
        <v>Low</v>
      </c>
      <c r="N905">
        <f t="shared" ca="1" si="87"/>
        <v>3.6</v>
      </c>
      <c r="O905">
        <f t="shared" ca="1" si="88"/>
        <v>0</v>
      </c>
      <c r="P905">
        <f t="shared" ca="1" si="89"/>
        <v>43142.8416</v>
      </c>
    </row>
    <row r="906" spans="1:16" x14ac:dyDescent="0.3">
      <c r="A906" t="s">
        <v>1344</v>
      </c>
      <c r="B906" t="s">
        <v>92</v>
      </c>
      <c r="C906" t="s">
        <v>12</v>
      </c>
      <c r="D906" t="s">
        <v>30</v>
      </c>
      <c r="E906" s="1">
        <v>45555</v>
      </c>
      <c r="F906">
        <v>35743.699999999997</v>
      </c>
      <c r="G906">
        <v>5.94</v>
      </c>
      <c r="H906">
        <v>120</v>
      </c>
      <c r="I906" t="s">
        <v>14</v>
      </c>
      <c r="J906">
        <v>32169</v>
      </c>
      <c r="K906">
        <f t="shared" ca="1" si="84"/>
        <v>0</v>
      </c>
      <c r="L906">
        <f t="shared" ca="1" si="85"/>
        <v>0</v>
      </c>
      <c r="M906" t="str">
        <f t="shared" ca="1" si="86"/>
        <v>Low</v>
      </c>
      <c r="N906">
        <f t="shared" ca="1" si="87"/>
        <v>1.2</v>
      </c>
      <c r="O906">
        <f t="shared" ca="1" si="88"/>
        <v>0</v>
      </c>
      <c r="P906">
        <f t="shared" ca="1" si="89"/>
        <v>0</v>
      </c>
    </row>
    <row r="907" spans="1:16" x14ac:dyDescent="0.3">
      <c r="A907" t="s">
        <v>1345</v>
      </c>
      <c r="B907" t="s">
        <v>734</v>
      </c>
      <c r="C907" t="s">
        <v>17</v>
      </c>
      <c r="D907" t="s">
        <v>26</v>
      </c>
      <c r="E907" s="1">
        <v>45493</v>
      </c>
      <c r="F907">
        <v>2648.44</v>
      </c>
      <c r="G907">
        <v>8.34</v>
      </c>
      <c r="H907">
        <v>240</v>
      </c>
      <c r="I907" t="s">
        <v>27</v>
      </c>
      <c r="J907">
        <v>0</v>
      </c>
      <c r="K907">
        <f t="shared" ca="1" si="84"/>
        <v>0</v>
      </c>
      <c r="L907">
        <f t="shared" ca="1" si="85"/>
        <v>0</v>
      </c>
      <c r="M907" t="str">
        <f t="shared" ca="1" si="86"/>
        <v>Low</v>
      </c>
      <c r="N907">
        <f t="shared" ca="1" si="87"/>
        <v>2.4</v>
      </c>
      <c r="O907">
        <f t="shared" ca="1" si="88"/>
        <v>0</v>
      </c>
      <c r="P907">
        <f t="shared" ca="1" si="89"/>
        <v>2039.2988</v>
      </c>
    </row>
    <row r="908" spans="1:16" x14ac:dyDescent="0.3">
      <c r="A908" t="s">
        <v>1346</v>
      </c>
      <c r="B908" t="s">
        <v>242</v>
      </c>
      <c r="C908" t="s">
        <v>17</v>
      </c>
      <c r="D908" t="s">
        <v>75</v>
      </c>
      <c r="E908" s="1">
        <v>45906</v>
      </c>
      <c r="F908">
        <v>50454.54</v>
      </c>
      <c r="G908">
        <v>12</v>
      </c>
      <c r="H908">
        <v>24</v>
      </c>
      <c r="I908" t="s">
        <v>27</v>
      </c>
      <c r="J908">
        <v>0</v>
      </c>
      <c r="K908">
        <f t="shared" ca="1" si="84"/>
        <v>0</v>
      </c>
      <c r="L908">
        <f t="shared" ca="1" si="85"/>
        <v>0</v>
      </c>
      <c r="M908" t="str">
        <f t="shared" ca="1" si="86"/>
        <v>Low</v>
      </c>
      <c r="N908">
        <f t="shared" ca="1" si="87"/>
        <v>0.24</v>
      </c>
      <c r="O908">
        <f t="shared" ca="1" si="88"/>
        <v>0</v>
      </c>
      <c r="P908">
        <f t="shared" ca="1" si="89"/>
        <v>58022.721000000005</v>
      </c>
    </row>
    <row r="909" spans="1:16" x14ac:dyDescent="0.3">
      <c r="A909" t="s">
        <v>1347</v>
      </c>
      <c r="B909" t="s">
        <v>1348</v>
      </c>
      <c r="C909" t="s">
        <v>25</v>
      </c>
      <c r="D909" t="s">
        <v>26</v>
      </c>
      <c r="E909" s="1">
        <v>46093</v>
      </c>
      <c r="F909">
        <v>94987.7</v>
      </c>
      <c r="G909">
        <v>8.17</v>
      </c>
      <c r="H909">
        <v>120</v>
      </c>
      <c r="I909" t="s">
        <v>14</v>
      </c>
      <c r="J909">
        <v>59842</v>
      </c>
      <c r="K909">
        <f t="shared" ca="1" si="84"/>
        <v>45</v>
      </c>
      <c r="L909">
        <f t="shared" ca="1" si="85"/>
        <v>0</v>
      </c>
      <c r="M909" t="str">
        <f t="shared" ca="1" si="86"/>
        <v>Medium</v>
      </c>
      <c r="N909">
        <f t="shared" ca="1" si="87"/>
        <v>6</v>
      </c>
      <c r="O909">
        <f t="shared" ca="1" si="88"/>
        <v>0</v>
      </c>
      <c r="P909">
        <f t="shared" ca="1" si="89"/>
        <v>73140.528999999995</v>
      </c>
    </row>
    <row r="910" spans="1:16" x14ac:dyDescent="0.3">
      <c r="A910" t="s">
        <v>1349</v>
      </c>
      <c r="B910" t="s">
        <v>391</v>
      </c>
      <c r="C910" t="s">
        <v>33</v>
      </c>
      <c r="D910" t="s">
        <v>75</v>
      </c>
      <c r="E910" s="1">
        <v>45849</v>
      </c>
      <c r="F910">
        <v>59182.19</v>
      </c>
      <c r="G910">
        <v>21.63</v>
      </c>
      <c r="H910">
        <v>180</v>
      </c>
      <c r="I910" t="s">
        <v>14</v>
      </c>
      <c r="J910">
        <v>50305</v>
      </c>
      <c r="K910">
        <f t="shared" ca="1" si="84"/>
        <v>120</v>
      </c>
      <c r="L910">
        <f t="shared" ca="1" si="85"/>
        <v>1</v>
      </c>
      <c r="M910" t="str">
        <f t="shared" ca="1" si="86"/>
        <v>High</v>
      </c>
      <c r="N910">
        <f t="shared" ca="1" si="87"/>
        <v>45</v>
      </c>
      <c r="O910">
        <f t="shared" ca="1" si="88"/>
        <v>39.6</v>
      </c>
      <c r="P910">
        <f t="shared" ca="1" si="89"/>
        <v>47937.573900000003</v>
      </c>
    </row>
    <row r="911" spans="1:16" x14ac:dyDescent="0.3">
      <c r="A911" t="s">
        <v>1350</v>
      </c>
      <c r="B911" t="s">
        <v>63</v>
      </c>
      <c r="C911" t="s">
        <v>25</v>
      </c>
      <c r="D911" t="s">
        <v>18</v>
      </c>
      <c r="E911" s="1">
        <v>45915</v>
      </c>
      <c r="F911">
        <v>82563.47</v>
      </c>
      <c r="G911">
        <v>4.76</v>
      </c>
      <c r="H911">
        <v>240</v>
      </c>
      <c r="I911" t="s">
        <v>14</v>
      </c>
      <c r="J911">
        <v>63574</v>
      </c>
      <c r="K911">
        <f t="shared" ca="1" si="84"/>
        <v>0</v>
      </c>
      <c r="L911">
        <f t="shared" ca="1" si="85"/>
        <v>0</v>
      </c>
      <c r="M911" t="str">
        <f t="shared" ca="1" si="86"/>
        <v>Low</v>
      </c>
      <c r="N911">
        <f t="shared" ca="1" si="87"/>
        <v>2.4</v>
      </c>
      <c r="O911">
        <f t="shared" ca="1" si="88"/>
        <v>0</v>
      </c>
      <c r="P911">
        <f t="shared" ca="1" si="89"/>
        <v>0</v>
      </c>
    </row>
    <row r="912" spans="1:16" x14ac:dyDescent="0.3">
      <c r="A912" t="s">
        <v>1351</v>
      </c>
      <c r="B912" t="s">
        <v>1016</v>
      </c>
      <c r="C912" t="s">
        <v>36</v>
      </c>
      <c r="D912" t="s">
        <v>26</v>
      </c>
      <c r="E912" s="1">
        <v>45293</v>
      </c>
      <c r="F912">
        <v>21988.83</v>
      </c>
      <c r="G912">
        <v>16.13</v>
      </c>
      <c r="H912">
        <v>360</v>
      </c>
      <c r="I912" t="s">
        <v>19</v>
      </c>
      <c r="J912">
        <v>0</v>
      </c>
      <c r="K912">
        <f t="shared" ca="1" si="84"/>
        <v>0</v>
      </c>
      <c r="L912">
        <f t="shared" ca="1" si="85"/>
        <v>0</v>
      </c>
      <c r="M912" t="str">
        <f t="shared" ca="1" si="86"/>
        <v>Low</v>
      </c>
      <c r="N912">
        <f t="shared" ca="1" si="87"/>
        <v>3.6</v>
      </c>
      <c r="O912">
        <f t="shared" ca="1" si="88"/>
        <v>0</v>
      </c>
      <c r="P912">
        <f t="shared" ca="1" si="89"/>
        <v>24627.489600000001</v>
      </c>
    </row>
    <row r="913" spans="1:16" x14ac:dyDescent="0.3">
      <c r="A913" t="s">
        <v>1352</v>
      </c>
      <c r="B913" t="s">
        <v>676</v>
      </c>
      <c r="C913" t="s">
        <v>123</v>
      </c>
      <c r="D913" t="s">
        <v>18</v>
      </c>
      <c r="E913" s="1">
        <v>46033</v>
      </c>
      <c r="F913">
        <v>46072.480000000003</v>
      </c>
      <c r="G913">
        <v>9.01</v>
      </c>
      <c r="H913">
        <v>60</v>
      </c>
      <c r="I913" t="s">
        <v>27</v>
      </c>
      <c r="J913">
        <v>0</v>
      </c>
      <c r="K913">
        <f t="shared" ca="1" si="84"/>
        <v>120</v>
      </c>
      <c r="L913">
        <f t="shared" ca="1" si="85"/>
        <v>1</v>
      </c>
      <c r="M913" t="str">
        <f t="shared" ca="1" si="86"/>
        <v>High</v>
      </c>
      <c r="N913">
        <f t="shared" ca="1" si="87"/>
        <v>15</v>
      </c>
      <c r="O913">
        <f t="shared" ca="1" si="88"/>
        <v>8.4</v>
      </c>
      <c r="P913">
        <f t="shared" ca="1" si="89"/>
        <v>0</v>
      </c>
    </row>
    <row r="914" spans="1:16" x14ac:dyDescent="0.3">
      <c r="A914" t="s">
        <v>1353</v>
      </c>
      <c r="B914" t="s">
        <v>829</v>
      </c>
      <c r="C914" t="s">
        <v>36</v>
      </c>
      <c r="D914" t="s">
        <v>13</v>
      </c>
      <c r="E914" s="1">
        <v>45834</v>
      </c>
      <c r="F914">
        <v>38146.18</v>
      </c>
      <c r="G914">
        <v>10.31</v>
      </c>
      <c r="H914">
        <v>24</v>
      </c>
      <c r="I914" t="s">
        <v>14</v>
      </c>
      <c r="J914">
        <v>35857</v>
      </c>
      <c r="K914">
        <f t="shared" ca="1" si="84"/>
        <v>0</v>
      </c>
      <c r="L914">
        <f t="shared" ca="1" si="85"/>
        <v>0</v>
      </c>
      <c r="M914" t="str">
        <f t="shared" ca="1" si="86"/>
        <v>Low</v>
      </c>
      <c r="N914">
        <f t="shared" ca="1" si="87"/>
        <v>0.24</v>
      </c>
      <c r="O914">
        <f t="shared" ca="1" si="88"/>
        <v>0</v>
      </c>
      <c r="P914">
        <f t="shared" ca="1" si="89"/>
        <v>0</v>
      </c>
    </row>
    <row r="915" spans="1:16" x14ac:dyDescent="0.3">
      <c r="A915" t="s">
        <v>1354</v>
      </c>
      <c r="B915" t="s">
        <v>1241</v>
      </c>
      <c r="C915" t="s">
        <v>36</v>
      </c>
      <c r="D915" t="s">
        <v>75</v>
      </c>
      <c r="E915" s="1">
        <v>45887</v>
      </c>
      <c r="F915">
        <v>41701.629999999997</v>
      </c>
      <c r="G915">
        <v>7.92</v>
      </c>
      <c r="H915">
        <v>48</v>
      </c>
      <c r="I915" t="s">
        <v>14</v>
      </c>
      <c r="J915">
        <v>25438</v>
      </c>
      <c r="K915">
        <f t="shared" ca="1" si="84"/>
        <v>0</v>
      </c>
      <c r="L915">
        <f t="shared" ca="1" si="85"/>
        <v>0</v>
      </c>
      <c r="M915" t="str">
        <f t="shared" ca="1" si="86"/>
        <v>Low</v>
      </c>
      <c r="N915">
        <f t="shared" ca="1" si="87"/>
        <v>0.48</v>
      </c>
      <c r="O915">
        <f t="shared" ca="1" si="88"/>
        <v>0</v>
      </c>
      <c r="P915">
        <f t="shared" ca="1" si="89"/>
        <v>29191.140999999996</v>
      </c>
    </row>
    <row r="916" spans="1:16" x14ac:dyDescent="0.3">
      <c r="A916" t="s">
        <v>1355</v>
      </c>
      <c r="B916" t="s">
        <v>900</v>
      </c>
      <c r="C916" t="s">
        <v>51</v>
      </c>
      <c r="D916" t="s">
        <v>75</v>
      </c>
      <c r="E916" s="1">
        <v>46002</v>
      </c>
      <c r="F916">
        <v>62855</v>
      </c>
      <c r="G916">
        <v>8.16</v>
      </c>
      <c r="H916">
        <v>24</v>
      </c>
      <c r="I916" t="s">
        <v>19</v>
      </c>
      <c r="J916">
        <v>0</v>
      </c>
      <c r="K916">
        <f t="shared" ca="1" si="84"/>
        <v>0</v>
      </c>
      <c r="L916">
        <f t="shared" ca="1" si="85"/>
        <v>0</v>
      </c>
      <c r="M916" t="str">
        <f t="shared" ca="1" si="86"/>
        <v>Low</v>
      </c>
      <c r="N916">
        <f t="shared" ca="1" si="87"/>
        <v>0.24</v>
      </c>
      <c r="O916">
        <f t="shared" ca="1" si="88"/>
        <v>0</v>
      </c>
      <c r="P916">
        <f t="shared" ca="1" si="89"/>
        <v>55940.95</v>
      </c>
    </row>
    <row r="917" spans="1:16" x14ac:dyDescent="0.3">
      <c r="A917" t="s">
        <v>1356</v>
      </c>
      <c r="B917" t="s">
        <v>1357</v>
      </c>
      <c r="C917" t="s">
        <v>70</v>
      </c>
      <c r="D917" t="s">
        <v>13</v>
      </c>
      <c r="E917" s="1">
        <v>45387</v>
      </c>
      <c r="F917">
        <v>78514.679999999993</v>
      </c>
      <c r="G917">
        <v>16.75</v>
      </c>
      <c r="H917">
        <v>120</v>
      </c>
      <c r="I917" t="s">
        <v>14</v>
      </c>
      <c r="J917">
        <v>49464</v>
      </c>
      <c r="K917">
        <f t="shared" ca="1" si="84"/>
        <v>0</v>
      </c>
      <c r="L917">
        <f t="shared" ca="1" si="85"/>
        <v>0</v>
      </c>
      <c r="M917" t="str">
        <f t="shared" ca="1" si="86"/>
        <v>Low</v>
      </c>
      <c r="N917">
        <f t="shared" ca="1" si="87"/>
        <v>1.2</v>
      </c>
      <c r="O917">
        <f t="shared" ca="1" si="88"/>
        <v>0</v>
      </c>
      <c r="P917">
        <f t="shared" ca="1" si="89"/>
        <v>0</v>
      </c>
    </row>
    <row r="918" spans="1:16" x14ac:dyDescent="0.3">
      <c r="A918" t="s">
        <v>1358</v>
      </c>
      <c r="B918" t="s">
        <v>134</v>
      </c>
      <c r="C918" t="s">
        <v>51</v>
      </c>
      <c r="D918" t="s">
        <v>22</v>
      </c>
      <c r="E918" s="1">
        <v>45710</v>
      </c>
      <c r="F918">
        <v>33416.79</v>
      </c>
      <c r="G918">
        <v>5.19</v>
      </c>
      <c r="H918">
        <v>84</v>
      </c>
      <c r="I918" t="s">
        <v>14</v>
      </c>
      <c r="J918">
        <v>24394</v>
      </c>
      <c r="K918">
        <f t="shared" ca="1" si="84"/>
        <v>45</v>
      </c>
      <c r="L918">
        <f t="shared" ca="1" si="85"/>
        <v>0</v>
      </c>
      <c r="M918" t="str">
        <f t="shared" ca="1" si="86"/>
        <v>Medium</v>
      </c>
      <c r="N918">
        <f t="shared" ca="1" si="87"/>
        <v>4.2</v>
      </c>
      <c r="O918">
        <f t="shared" ca="1" si="88"/>
        <v>0</v>
      </c>
      <c r="P918">
        <f t="shared" ca="1" si="89"/>
        <v>35755.965300000003</v>
      </c>
    </row>
    <row r="919" spans="1:16" x14ac:dyDescent="0.3">
      <c r="A919" t="s">
        <v>1359</v>
      </c>
      <c r="B919" t="s">
        <v>900</v>
      </c>
      <c r="C919" t="s">
        <v>70</v>
      </c>
      <c r="D919" t="s">
        <v>18</v>
      </c>
      <c r="E919" s="1">
        <v>45914</v>
      </c>
      <c r="F919">
        <v>95321.76</v>
      </c>
      <c r="G919">
        <v>16.690000000000001</v>
      </c>
      <c r="H919">
        <v>48</v>
      </c>
      <c r="I919" t="s">
        <v>14</v>
      </c>
      <c r="J919">
        <v>41942</v>
      </c>
      <c r="K919">
        <f t="shared" ca="1" si="84"/>
        <v>45</v>
      </c>
      <c r="L919">
        <f t="shared" ca="1" si="85"/>
        <v>0</v>
      </c>
      <c r="M919" t="str">
        <f t="shared" ca="1" si="86"/>
        <v>Medium</v>
      </c>
      <c r="N919">
        <f t="shared" ca="1" si="87"/>
        <v>2.4000000000000004</v>
      </c>
      <c r="O919">
        <f t="shared" ca="1" si="88"/>
        <v>0</v>
      </c>
      <c r="P919">
        <f t="shared" ca="1" si="89"/>
        <v>0</v>
      </c>
    </row>
    <row r="920" spans="1:16" x14ac:dyDescent="0.3">
      <c r="A920" t="s">
        <v>1360</v>
      </c>
      <c r="B920" t="s">
        <v>304</v>
      </c>
      <c r="C920" t="s">
        <v>70</v>
      </c>
      <c r="D920" t="s">
        <v>22</v>
      </c>
      <c r="E920" s="1">
        <v>46080</v>
      </c>
      <c r="F920">
        <v>6111.97</v>
      </c>
      <c r="G920">
        <v>14.74</v>
      </c>
      <c r="H920">
        <v>180</v>
      </c>
      <c r="I920" t="s">
        <v>14</v>
      </c>
      <c r="J920">
        <v>4095</v>
      </c>
      <c r="K920">
        <f t="shared" ca="1" si="84"/>
        <v>60</v>
      </c>
      <c r="L920">
        <f t="shared" ca="1" si="85"/>
        <v>0</v>
      </c>
      <c r="M920" t="str">
        <f t="shared" ca="1" si="86"/>
        <v>Medium</v>
      </c>
      <c r="N920">
        <f t="shared" ca="1" si="87"/>
        <v>18</v>
      </c>
      <c r="O920">
        <f t="shared" ca="1" si="88"/>
        <v>0</v>
      </c>
      <c r="P920">
        <f t="shared" ca="1" si="89"/>
        <v>5439.6533000000009</v>
      </c>
    </row>
    <row r="921" spans="1:16" x14ac:dyDescent="0.3">
      <c r="A921" t="s">
        <v>1361</v>
      </c>
      <c r="B921" t="s">
        <v>1362</v>
      </c>
      <c r="C921" t="s">
        <v>17</v>
      </c>
      <c r="D921" t="s">
        <v>75</v>
      </c>
      <c r="E921" s="1">
        <v>46003</v>
      </c>
      <c r="F921">
        <v>48354.55</v>
      </c>
      <c r="G921">
        <v>18.809999999999999</v>
      </c>
      <c r="H921">
        <v>24</v>
      </c>
      <c r="I921" t="s">
        <v>14</v>
      </c>
      <c r="J921">
        <v>33848</v>
      </c>
      <c r="K921">
        <f t="shared" ca="1" si="84"/>
        <v>0</v>
      </c>
      <c r="L921">
        <f t="shared" ca="1" si="85"/>
        <v>0</v>
      </c>
      <c r="M921" t="str">
        <f t="shared" ca="1" si="86"/>
        <v>Low</v>
      </c>
      <c r="N921">
        <f t="shared" ca="1" si="87"/>
        <v>0.24</v>
      </c>
      <c r="O921">
        <f t="shared" ca="1" si="88"/>
        <v>0</v>
      </c>
      <c r="P921">
        <f t="shared" ca="1" si="89"/>
        <v>59959.642</v>
      </c>
    </row>
    <row r="922" spans="1:16" x14ac:dyDescent="0.3">
      <c r="A922" t="s">
        <v>1363</v>
      </c>
      <c r="B922" t="s">
        <v>728</v>
      </c>
      <c r="C922" t="s">
        <v>12</v>
      </c>
      <c r="D922" t="s">
        <v>13</v>
      </c>
      <c r="E922" s="1">
        <v>45433</v>
      </c>
      <c r="F922">
        <v>17639.91</v>
      </c>
      <c r="G922">
        <v>8.26</v>
      </c>
      <c r="H922">
        <v>84</v>
      </c>
      <c r="I922" t="s">
        <v>14</v>
      </c>
      <c r="J922">
        <v>14288</v>
      </c>
      <c r="K922">
        <f t="shared" ca="1" si="84"/>
        <v>0</v>
      </c>
      <c r="L922">
        <f t="shared" ca="1" si="85"/>
        <v>0</v>
      </c>
      <c r="M922" t="str">
        <f t="shared" ca="1" si="86"/>
        <v>Low</v>
      </c>
      <c r="N922">
        <f t="shared" ca="1" si="87"/>
        <v>0.84</v>
      </c>
      <c r="O922">
        <f t="shared" ca="1" si="88"/>
        <v>0</v>
      </c>
      <c r="P922">
        <f t="shared" ca="1" si="89"/>
        <v>0</v>
      </c>
    </row>
    <row r="923" spans="1:16" x14ac:dyDescent="0.3">
      <c r="A923" t="s">
        <v>1364</v>
      </c>
      <c r="B923" t="s">
        <v>540</v>
      </c>
      <c r="C923" t="s">
        <v>25</v>
      </c>
      <c r="D923" t="s">
        <v>18</v>
      </c>
      <c r="E923" s="1">
        <v>45660</v>
      </c>
      <c r="F923">
        <v>7381.14</v>
      </c>
      <c r="G923">
        <v>5.0199999999999996</v>
      </c>
      <c r="H923">
        <v>84</v>
      </c>
      <c r="I923" t="s">
        <v>14</v>
      </c>
      <c r="J923">
        <v>6200</v>
      </c>
      <c r="K923">
        <f t="shared" ca="1" si="84"/>
        <v>15</v>
      </c>
      <c r="L923">
        <f t="shared" ca="1" si="85"/>
        <v>0</v>
      </c>
      <c r="M923" t="str">
        <f t="shared" ca="1" si="86"/>
        <v>Low</v>
      </c>
      <c r="N923">
        <f t="shared" ca="1" si="87"/>
        <v>0.84</v>
      </c>
      <c r="O923">
        <f t="shared" ca="1" si="88"/>
        <v>0</v>
      </c>
      <c r="P923">
        <f t="shared" ca="1" si="89"/>
        <v>0</v>
      </c>
    </row>
    <row r="924" spans="1:16" x14ac:dyDescent="0.3">
      <c r="A924" t="s">
        <v>1365</v>
      </c>
      <c r="B924" t="s">
        <v>948</v>
      </c>
      <c r="C924" t="s">
        <v>33</v>
      </c>
      <c r="D924" t="s">
        <v>75</v>
      </c>
      <c r="E924" s="1">
        <v>45592</v>
      </c>
      <c r="F924">
        <v>19213.080000000002</v>
      </c>
      <c r="G924">
        <v>11.16</v>
      </c>
      <c r="H924">
        <v>72</v>
      </c>
      <c r="I924" t="s">
        <v>14</v>
      </c>
      <c r="J924">
        <v>10567</v>
      </c>
      <c r="K924">
        <f t="shared" ca="1" si="84"/>
        <v>15</v>
      </c>
      <c r="L924">
        <f t="shared" ca="1" si="85"/>
        <v>0</v>
      </c>
      <c r="M924" t="str">
        <f t="shared" ca="1" si="86"/>
        <v>Low</v>
      </c>
      <c r="N924">
        <f t="shared" ca="1" si="87"/>
        <v>0.72</v>
      </c>
      <c r="O924">
        <f t="shared" ca="1" si="88"/>
        <v>0</v>
      </c>
      <c r="P924">
        <f t="shared" ca="1" si="89"/>
        <v>16715.3796</v>
      </c>
    </row>
    <row r="925" spans="1:16" x14ac:dyDescent="0.3">
      <c r="A925" t="s">
        <v>1366</v>
      </c>
      <c r="B925" t="s">
        <v>67</v>
      </c>
      <c r="C925" t="s">
        <v>39</v>
      </c>
      <c r="D925" t="s">
        <v>30</v>
      </c>
      <c r="E925" s="1">
        <v>46066</v>
      </c>
      <c r="F925">
        <v>30625.75</v>
      </c>
      <c r="G925">
        <v>11.71</v>
      </c>
      <c r="H925">
        <v>84</v>
      </c>
      <c r="I925" t="s">
        <v>14</v>
      </c>
      <c r="J925">
        <v>25726</v>
      </c>
      <c r="K925">
        <f t="shared" ca="1" si="84"/>
        <v>15</v>
      </c>
      <c r="L925">
        <f t="shared" ca="1" si="85"/>
        <v>0</v>
      </c>
      <c r="M925" t="str">
        <f t="shared" ca="1" si="86"/>
        <v>Low</v>
      </c>
      <c r="N925">
        <f t="shared" ca="1" si="87"/>
        <v>0.84</v>
      </c>
      <c r="O925">
        <f t="shared" ca="1" si="88"/>
        <v>0</v>
      </c>
      <c r="P925">
        <f t="shared" ca="1" si="89"/>
        <v>0</v>
      </c>
    </row>
    <row r="926" spans="1:16" x14ac:dyDescent="0.3">
      <c r="A926" t="s">
        <v>1367</v>
      </c>
      <c r="B926" t="s">
        <v>934</v>
      </c>
      <c r="C926" t="s">
        <v>54</v>
      </c>
      <c r="D926" t="s">
        <v>13</v>
      </c>
      <c r="E926" s="1">
        <v>45356</v>
      </c>
      <c r="F926">
        <v>16990.240000000002</v>
      </c>
      <c r="G926">
        <v>12.29</v>
      </c>
      <c r="H926">
        <v>60</v>
      </c>
      <c r="I926" t="s">
        <v>14</v>
      </c>
      <c r="J926">
        <v>13252</v>
      </c>
      <c r="K926">
        <f t="shared" ca="1" si="84"/>
        <v>45</v>
      </c>
      <c r="L926">
        <f t="shared" ca="1" si="85"/>
        <v>0</v>
      </c>
      <c r="M926" t="str">
        <f t="shared" ca="1" si="86"/>
        <v>Medium</v>
      </c>
      <c r="N926">
        <f t="shared" ca="1" si="87"/>
        <v>3</v>
      </c>
      <c r="O926">
        <f t="shared" ca="1" si="88"/>
        <v>0</v>
      </c>
      <c r="P926">
        <f t="shared" ca="1" si="89"/>
        <v>0</v>
      </c>
    </row>
    <row r="927" spans="1:16" x14ac:dyDescent="0.3">
      <c r="A927" t="s">
        <v>1368</v>
      </c>
      <c r="B927" t="s">
        <v>1369</v>
      </c>
      <c r="C927" t="s">
        <v>123</v>
      </c>
      <c r="D927" t="s">
        <v>18</v>
      </c>
      <c r="E927" s="1">
        <v>45401</v>
      </c>
      <c r="F927">
        <v>65594.86</v>
      </c>
      <c r="G927">
        <v>6.16</v>
      </c>
      <c r="H927">
        <v>360</v>
      </c>
      <c r="I927" t="s">
        <v>27</v>
      </c>
      <c r="J927">
        <v>0</v>
      </c>
      <c r="K927">
        <f t="shared" ca="1" si="84"/>
        <v>0</v>
      </c>
      <c r="L927">
        <f t="shared" ca="1" si="85"/>
        <v>0</v>
      </c>
      <c r="M927" t="str">
        <f t="shared" ca="1" si="86"/>
        <v>Low</v>
      </c>
      <c r="N927">
        <f t="shared" ca="1" si="87"/>
        <v>3.6</v>
      </c>
      <c r="O927">
        <f t="shared" ca="1" si="88"/>
        <v>0</v>
      </c>
      <c r="P927">
        <f t="shared" ca="1" si="89"/>
        <v>0</v>
      </c>
    </row>
    <row r="928" spans="1:16" x14ac:dyDescent="0.3">
      <c r="A928" t="s">
        <v>1370</v>
      </c>
      <c r="B928" t="s">
        <v>244</v>
      </c>
      <c r="C928" t="s">
        <v>25</v>
      </c>
      <c r="D928" t="s">
        <v>18</v>
      </c>
      <c r="E928" s="1">
        <v>45706</v>
      </c>
      <c r="F928">
        <v>77747.89</v>
      </c>
      <c r="G928">
        <v>7.83</v>
      </c>
      <c r="H928">
        <v>36</v>
      </c>
      <c r="I928" t="s">
        <v>14</v>
      </c>
      <c r="J928">
        <v>72306</v>
      </c>
      <c r="K928">
        <f t="shared" ca="1" si="84"/>
        <v>30</v>
      </c>
      <c r="L928">
        <f t="shared" ca="1" si="85"/>
        <v>0</v>
      </c>
      <c r="M928" t="str">
        <f t="shared" ca="1" si="86"/>
        <v>Medium</v>
      </c>
      <c r="N928">
        <f t="shared" ca="1" si="87"/>
        <v>1.8</v>
      </c>
      <c r="O928">
        <f t="shared" ca="1" si="88"/>
        <v>0</v>
      </c>
      <c r="P928">
        <f t="shared" ca="1" si="89"/>
        <v>0</v>
      </c>
    </row>
    <row r="929" spans="1:16" x14ac:dyDescent="0.3">
      <c r="A929" t="s">
        <v>1371</v>
      </c>
      <c r="B929" t="s">
        <v>1372</v>
      </c>
      <c r="C929" t="s">
        <v>123</v>
      </c>
      <c r="D929" t="s">
        <v>26</v>
      </c>
      <c r="E929" s="1">
        <v>45753</v>
      </c>
      <c r="F929">
        <v>10838.57</v>
      </c>
      <c r="G929">
        <v>13.71</v>
      </c>
      <c r="H929">
        <v>360</v>
      </c>
      <c r="I929" t="s">
        <v>14</v>
      </c>
      <c r="J929">
        <v>4877</v>
      </c>
      <c r="K929">
        <f t="shared" ca="1" si="84"/>
        <v>0</v>
      </c>
      <c r="L929">
        <f t="shared" ca="1" si="85"/>
        <v>0</v>
      </c>
      <c r="M929" t="str">
        <f t="shared" ca="1" si="86"/>
        <v>Low</v>
      </c>
      <c r="N929">
        <f t="shared" ca="1" si="87"/>
        <v>3.6</v>
      </c>
      <c r="O929">
        <f t="shared" ca="1" si="88"/>
        <v>0</v>
      </c>
      <c r="P929">
        <f t="shared" ca="1" si="89"/>
        <v>13873.3696</v>
      </c>
    </row>
    <row r="930" spans="1:16" x14ac:dyDescent="0.3">
      <c r="A930" t="s">
        <v>1373</v>
      </c>
      <c r="B930" t="s">
        <v>1374</v>
      </c>
      <c r="C930" t="s">
        <v>17</v>
      </c>
      <c r="D930" t="s">
        <v>30</v>
      </c>
      <c r="E930" s="1">
        <v>45835</v>
      </c>
      <c r="F930">
        <v>13507.69</v>
      </c>
      <c r="G930">
        <v>5.22</v>
      </c>
      <c r="H930">
        <v>180</v>
      </c>
      <c r="I930" t="s">
        <v>14</v>
      </c>
      <c r="J930">
        <v>9185</v>
      </c>
      <c r="K930">
        <f t="shared" ca="1" si="84"/>
        <v>120</v>
      </c>
      <c r="L930">
        <f t="shared" ca="1" si="85"/>
        <v>1</v>
      </c>
      <c r="M930" t="str">
        <f t="shared" ca="1" si="86"/>
        <v>High</v>
      </c>
      <c r="N930">
        <f t="shared" ca="1" si="87"/>
        <v>45</v>
      </c>
      <c r="O930">
        <f t="shared" ca="1" si="88"/>
        <v>21.6</v>
      </c>
      <c r="P930">
        <f t="shared" ca="1" si="89"/>
        <v>0</v>
      </c>
    </row>
    <row r="931" spans="1:16" x14ac:dyDescent="0.3">
      <c r="A931" t="s">
        <v>1375</v>
      </c>
      <c r="B931" t="s">
        <v>1376</v>
      </c>
      <c r="C931" t="s">
        <v>51</v>
      </c>
      <c r="D931" t="s">
        <v>30</v>
      </c>
      <c r="E931" s="1">
        <v>45455</v>
      </c>
      <c r="F931">
        <v>37780.21</v>
      </c>
      <c r="G931">
        <v>20.7</v>
      </c>
      <c r="H931">
        <v>84</v>
      </c>
      <c r="I931" t="s">
        <v>27</v>
      </c>
      <c r="J931">
        <v>0</v>
      </c>
      <c r="K931">
        <f t="shared" ca="1" si="84"/>
        <v>0</v>
      </c>
      <c r="L931">
        <f t="shared" ca="1" si="85"/>
        <v>0</v>
      </c>
      <c r="M931" t="str">
        <f t="shared" ca="1" si="86"/>
        <v>Low</v>
      </c>
      <c r="N931">
        <f t="shared" ca="1" si="87"/>
        <v>0.84</v>
      </c>
      <c r="O931">
        <f t="shared" ca="1" si="88"/>
        <v>0</v>
      </c>
      <c r="P931">
        <f t="shared" ca="1" si="89"/>
        <v>0</v>
      </c>
    </row>
    <row r="932" spans="1:16" x14ac:dyDescent="0.3">
      <c r="A932" t="s">
        <v>1377</v>
      </c>
      <c r="B932" t="s">
        <v>1147</v>
      </c>
      <c r="C932" t="s">
        <v>36</v>
      </c>
      <c r="D932" t="s">
        <v>18</v>
      </c>
      <c r="E932" s="1">
        <v>45854</v>
      </c>
      <c r="F932">
        <v>82837.47</v>
      </c>
      <c r="G932">
        <v>13.75</v>
      </c>
      <c r="H932">
        <v>240</v>
      </c>
      <c r="I932" t="s">
        <v>14</v>
      </c>
      <c r="J932">
        <v>41419</v>
      </c>
      <c r="K932">
        <f t="shared" ca="1" si="84"/>
        <v>90</v>
      </c>
      <c r="L932">
        <f t="shared" ca="1" si="85"/>
        <v>1</v>
      </c>
      <c r="M932" t="str">
        <f t="shared" ca="1" si="86"/>
        <v>High</v>
      </c>
      <c r="N932">
        <f t="shared" ca="1" si="87"/>
        <v>60</v>
      </c>
      <c r="O932">
        <f t="shared" ca="1" si="88"/>
        <v>43.2</v>
      </c>
      <c r="P932">
        <f t="shared" ca="1" si="89"/>
        <v>0</v>
      </c>
    </row>
    <row r="933" spans="1:16" x14ac:dyDescent="0.3">
      <c r="A933" t="s">
        <v>1378</v>
      </c>
      <c r="B933" t="s">
        <v>794</v>
      </c>
      <c r="C933" t="s">
        <v>39</v>
      </c>
      <c r="D933" t="s">
        <v>75</v>
      </c>
      <c r="E933" s="1">
        <v>45365</v>
      </c>
      <c r="F933">
        <v>97054.37</v>
      </c>
      <c r="G933">
        <v>21.84</v>
      </c>
      <c r="H933">
        <v>240</v>
      </c>
      <c r="I933" t="s">
        <v>14</v>
      </c>
      <c r="J933">
        <v>44645</v>
      </c>
      <c r="K933">
        <f t="shared" ca="1" si="84"/>
        <v>0</v>
      </c>
      <c r="L933">
        <f t="shared" ca="1" si="85"/>
        <v>0</v>
      </c>
      <c r="M933" t="str">
        <f t="shared" ca="1" si="86"/>
        <v>Low</v>
      </c>
      <c r="N933">
        <f t="shared" ca="1" si="87"/>
        <v>2.4</v>
      </c>
      <c r="O933">
        <f t="shared" ca="1" si="88"/>
        <v>0</v>
      </c>
      <c r="P933">
        <f t="shared" ca="1" si="89"/>
        <v>106759.80699999999</v>
      </c>
    </row>
    <row r="934" spans="1:16" x14ac:dyDescent="0.3">
      <c r="A934" t="s">
        <v>1379</v>
      </c>
      <c r="B934" t="s">
        <v>624</v>
      </c>
      <c r="C934" t="s">
        <v>17</v>
      </c>
      <c r="D934" t="s">
        <v>75</v>
      </c>
      <c r="E934" s="1">
        <v>45687</v>
      </c>
      <c r="F934">
        <v>2770.57</v>
      </c>
      <c r="G934">
        <v>12.27</v>
      </c>
      <c r="H934">
        <v>24</v>
      </c>
      <c r="I934" t="s">
        <v>27</v>
      </c>
      <c r="J934">
        <v>0</v>
      </c>
      <c r="K934">
        <f t="shared" ca="1" si="84"/>
        <v>45</v>
      </c>
      <c r="L934">
        <f t="shared" ca="1" si="85"/>
        <v>0</v>
      </c>
      <c r="M934" t="str">
        <f t="shared" ca="1" si="86"/>
        <v>Medium</v>
      </c>
      <c r="N934">
        <f t="shared" ca="1" si="87"/>
        <v>1.2000000000000002</v>
      </c>
      <c r="O934">
        <f t="shared" ca="1" si="88"/>
        <v>0</v>
      </c>
      <c r="P934">
        <f t="shared" ca="1" si="89"/>
        <v>1967.1047000000001</v>
      </c>
    </row>
    <row r="935" spans="1:16" x14ac:dyDescent="0.3">
      <c r="A935" t="s">
        <v>1380</v>
      </c>
      <c r="B935" t="s">
        <v>154</v>
      </c>
      <c r="C935" t="s">
        <v>36</v>
      </c>
      <c r="D935" t="s">
        <v>75</v>
      </c>
      <c r="E935" s="1">
        <v>45345</v>
      </c>
      <c r="F935">
        <v>30841.03</v>
      </c>
      <c r="G935">
        <v>10.07</v>
      </c>
      <c r="H935">
        <v>60</v>
      </c>
      <c r="I935" t="s">
        <v>19</v>
      </c>
      <c r="J935">
        <v>0</v>
      </c>
      <c r="K935">
        <f t="shared" ca="1" si="84"/>
        <v>0</v>
      </c>
      <c r="L935">
        <f t="shared" ca="1" si="85"/>
        <v>0</v>
      </c>
      <c r="M935" t="str">
        <f t="shared" ca="1" si="86"/>
        <v>Low</v>
      </c>
      <c r="N935">
        <f t="shared" ca="1" si="87"/>
        <v>0.6</v>
      </c>
      <c r="O935">
        <f t="shared" ca="1" si="88"/>
        <v>0</v>
      </c>
      <c r="P935">
        <f t="shared" ca="1" si="89"/>
        <v>28682.157900000002</v>
      </c>
    </row>
    <row r="936" spans="1:16" x14ac:dyDescent="0.3">
      <c r="A936" t="s">
        <v>1381</v>
      </c>
      <c r="B936" t="s">
        <v>676</v>
      </c>
      <c r="C936" t="s">
        <v>51</v>
      </c>
      <c r="D936" t="s">
        <v>22</v>
      </c>
      <c r="E936" s="1">
        <v>45388</v>
      </c>
      <c r="F936">
        <v>8381.9500000000007</v>
      </c>
      <c r="G936">
        <v>21.52</v>
      </c>
      <c r="H936">
        <v>60</v>
      </c>
      <c r="I936" t="s">
        <v>14</v>
      </c>
      <c r="J936">
        <v>3437</v>
      </c>
      <c r="K936">
        <f t="shared" ca="1" si="84"/>
        <v>15</v>
      </c>
      <c r="L936">
        <f t="shared" ca="1" si="85"/>
        <v>0</v>
      </c>
      <c r="M936" t="str">
        <f t="shared" ca="1" si="86"/>
        <v>Low</v>
      </c>
      <c r="N936">
        <f t="shared" ca="1" si="87"/>
        <v>0.6</v>
      </c>
      <c r="O936">
        <f t="shared" ca="1" si="88"/>
        <v>0</v>
      </c>
      <c r="P936">
        <f t="shared" ca="1" si="89"/>
        <v>8130.4915000000001</v>
      </c>
    </row>
    <row r="937" spans="1:16" x14ac:dyDescent="0.3">
      <c r="A937" t="s">
        <v>1382</v>
      </c>
      <c r="B937" t="s">
        <v>591</v>
      </c>
      <c r="C937" t="s">
        <v>39</v>
      </c>
      <c r="D937" t="s">
        <v>30</v>
      </c>
      <c r="E937" s="1">
        <v>45988</v>
      </c>
      <c r="F937">
        <v>53738.22</v>
      </c>
      <c r="G937">
        <v>10.4</v>
      </c>
      <c r="H937">
        <v>240</v>
      </c>
      <c r="I937" t="s">
        <v>14</v>
      </c>
      <c r="J937">
        <v>20958</v>
      </c>
      <c r="K937">
        <f t="shared" ca="1" si="84"/>
        <v>60</v>
      </c>
      <c r="L937">
        <f t="shared" ca="1" si="85"/>
        <v>0</v>
      </c>
      <c r="M937" t="str">
        <f t="shared" ca="1" si="86"/>
        <v>Medium</v>
      </c>
      <c r="N937">
        <f t="shared" ca="1" si="87"/>
        <v>24</v>
      </c>
      <c r="O937">
        <f t="shared" ca="1" si="88"/>
        <v>0</v>
      </c>
      <c r="P937">
        <f t="shared" ca="1" si="89"/>
        <v>0</v>
      </c>
    </row>
    <row r="938" spans="1:16" x14ac:dyDescent="0.3">
      <c r="A938" t="s">
        <v>1383</v>
      </c>
      <c r="B938" t="s">
        <v>680</v>
      </c>
      <c r="C938" t="s">
        <v>123</v>
      </c>
      <c r="D938" t="s">
        <v>30</v>
      </c>
      <c r="E938" s="1">
        <v>45748</v>
      </c>
      <c r="F938">
        <v>69091.539999999994</v>
      </c>
      <c r="G938">
        <v>20.62</v>
      </c>
      <c r="H938">
        <v>12</v>
      </c>
      <c r="I938" t="s">
        <v>14</v>
      </c>
      <c r="J938">
        <v>42146</v>
      </c>
      <c r="K938">
        <f t="shared" ca="1" si="84"/>
        <v>0</v>
      </c>
      <c r="L938">
        <f t="shared" ca="1" si="85"/>
        <v>0</v>
      </c>
      <c r="M938" t="str">
        <f t="shared" ca="1" si="86"/>
        <v>Low</v>
      </c>
      <c r="N938">
        <f t="shared" ca="1" si="87"/>
        <v>0.12</v>
      </c>
      <c r="O938">
        <f t="shared" ca="1" si="88"/>
        <v>0</v>
      </c>
      <c r="P938">
        <f t="shared" ca="1" si="89"/>
        <v>0</v>
      </c>
    </row>
    <row r="939" spans="1:16" x14ac:dyDescent="0.3">
      <c r="A939" t="s">
        <v>1384</v>
      </c>
      <c r="B939" t="s">
        <v>254</v>
      </c>
      <c r="C939" t="s">
        <v>39</v>
      </c>
      <c r="D939" t="s">
        <v>30</v>
      </c>
      <c r="E939" s="1">
        <v>46033</v>
      </c>
      <c r="F939">
        <v>79199.33</v>
      </c>
      <c r="G939">
        <v>14.06</v>
      </c>
      <c r="H939">
        <v>12</v>
      </c>
      <c r="I939" t="s">
        <v>14</v>
      </c>
      <c r="J939">
        <v>30096</v>
      </c>
      <c r="K939">
        <f t="shared" ca="1" si="84"/>
        <v>15</v>
      </c>
      <c r="L939">
        <f t="shared" ca="1" si="85"/>
        <v>0</v>
      </c>
      <c r="M939" t="str">
        <f t="shared" ca="1" si="86"/>
        <v>Low</v>
      </c>
      <c r="N939">
        <f t="shared" ca="1" si="87"/>
        <v>0.12</v>
      </c>
      <c r="O939">
        <f t="shared" ca="1" si="88"/>
        <v>0</v>
      </c>
      <c r="P939">
        <f t="shared" ca="1" si="89"/>
        <v>0</v>
      </c>
    </row>
    <row r="940" spans="1:16" x14ac:dyDescent="0.3">
      <c r="A940" t="s">
        <v>1385</v>
      </c>
      <c r="B940" t="s">
        <v>1386</v>
      </c>
      <c r="C940" t="s">
        <v>70</v>
      </c>
      <c r="D940" t="s">
        <v>26</v>
      </c>
      <c r="E940" s="1">
        <v>46147</v>
      </c>
      <c r="F940">
        <v>6392.04</v>
      </c>
      <c r="G940">
        <v>12.54</v>
      </c>
      <c r="H940">
        <v>24</v>
      </c>
      <c r="I940" t="s">
        <v>14</v>
      </c>
      <c r="J940">
        <v>5625</v>
      </c>
      <c r="K940">
        <f t="shared" ca="1" si="84"/>
        <v>45</v>
      </c>
      <c r="L940">
        <f t="shared" ca="1" si="85"/>
        <v>0</v>
      </c>
      <c r="M940" t="str">
        <f t="shared" ca="1" si="86"/>
        <v>Medium</v>
      </c>
      <c r="N940">
        <f t="shared" ca="1" si="87"/>
        <v>1.2000000000000002</v>
      </c>
      <c r="O940">
        <f t="shared" ca="1" si="88"/>
        <v>0</v>
      </c>
      <c r="P940">
        <f t="shared" ca="1" si="89"/>
        <v>5177.5523999999996</v>
      </c>
    </row>
    <row r="941" spans="1:16" x14ac:dyDescent="0.3">
      <c r="A941" t="s">
        <v>1387</v>
      </c>
      <c r="B941" t="s">
        <v>465</v>
      </c>
      <c r="C941" t="s">
        <v>39</v>
      </c>
      <c r="D941" t="s">
        <v>13</v>
      </c>
      <c r="E941" s="1">
        <v>45787</v>
      </c>
      <c r="F941">
        <v>61512.41</v>
      </c>
      <c r="G941">
        <v>20.69</v>
      </c>
      <c r="H941">
        <v>24</v>
      </c>
      <c r="I941" t="s">
        <v>14</v>
      </c>
      <c r="J941">
        <v>28911</v>
      </c>
      <c r="K941">
        <f t="shared" ca="1" si="84"/>
        <v>30</v>
      </c>
      <c r="L941">
        <f t="shared" ca="1" si="85"/>
        <v>0</v>
      </c>
      <c r="M941" t="str">
        <f t="shared" ca="1" si="86"/>
        <v>Medium</v>
      </c>
      <c r="N941">
        <f t="shared" ca="1" si="87"/>
        <v>1.2000000000000002</v>
      </c>
      <c r="O941">
        <f t="shared" ca="1" si="88"/>
        <v>0</v>
      </c>
      <c r="P941">
        <f t="shared" ca="1" si="89"/>
        <v>0</v>
      </c>
    </row>
    <row r="942" spans="1:16" x14ac:dyDescent="0.3">
      <c r="A942" t="s">
        <v>1388</v>
      </c>
      <c r="B942" t="s">
        <v>465</v>
      </c>
      <c r="C942" t="s">
        <v>12</v>
      </c>
      <c r="D942" t="s">
        <v>22</v>
      </c>
      <c r="E942" s="1">
        <v>45951</v>
      </c>
      <c r="F942">
        <v>51855.67</v>
      </c>
      <c r="G942">
        <v>6.41</v>
      </c>
      <c r="H942">
        <v>12</v>
      </c>
      <c r="I942" t="s">
        <v>14</v>
      </c>
      <c r="J942">
        <v>21261</v>
      </c>
      <c r="K942">
        <f t="shared" ca="1" si="84"/>
        <v>120</v>
      </c>
      <c r="L942">
        <f t="shared" ca="1" si="85"/>
        <v>1</v>
      </c>
      <c r="M942" t="str">
        <f t="shared" ca="1" si="86"/>
        <v>High</v>
      </c>
      <c r="N942">
        <f t="shared" ca="1" si="87"/>
        <v>3</v>
      </c>
      <c r="O942">
        <f t="shared" ca="1" si="88"/>
        <v>3.24</v>
      </c>
      <c r="P942">
        <f t="shared" ca="1" si="89"/>
        <v>67412.370999999999</v>
      </c>
    </row>
    <row r="943" spans="1:16" x14ac:dyDescent="0.3">
      <c r="A943" t="s">
        <v>1389</v>
      </c>
      <c r="B943" t="s">
        <v>1138</v>
      </c>
      <c r="C943" t="s">
        <v>25</v>
      </c>
      <c r="D943" t="s">
        <v>18</v>
      </c>
      <c r="E943" s="1">
        <v>45573</v>
      </c>
      <c r="F943">
        <v>83196.899999999994</v>
      </c>
      <c r="G943">
        <v>20.58</v>
      </c>
      <c r="H943">
        <v>48</v>
      </c>
      <c r="I943" t="s">
        <v>27</v>
      </c>
      <c r="J943">
        <v>0</v>
      </c>
      <c r="K943">
        <f t="shared" ca="1" si="84"/>
        <v>60</v>
      </c>
      <c r="L943">
        <f t="shared" ca="1" si="85"/>
        <v>0</v>
      </c>
      <c r="M943" t="str">
        <f t="shared" ca="1" si="86"/>
        <v>Medium</v>
      </c>
      <c r="N943">
        <f t="shared" ca="1" si="87"/>
        <v>4.8000000000000007</v>
      </c>
      <c r="O943">
        <f t="shared" ca="1" si="88"/>
        <v>0</v>
      </c>
      <c r="P943">
        <f t="shared" ca="1" si="89"/>
        <v>0</v>
      </c>
    </row>
    <row r="944" spans="1:16" x14ac:dyDescent="0.3">
      <c r="A944" t="s">
        <v>1390</v>
      </c>
      <c r="B944" t="s">
        <v>419</v>
      </c>
      <c r="C944" t="s">
        <v>12</v>
      </c>
      <c r="D944" t="s">
        <v>13</v>
      </c>
      <c r="E944" s="1">
        <v>45378</v>
      </c>
      <c r="F944">
        <v>50936.35</v>
      </c>
      <c r="G944">
        <v>4.54</v>
      </c>
      <c r="H944">
        <v>240</v>
      </c>
      <c r="I944" t="s">
        <v>14</v>
      </c>
      <c r="J944">
        <v>34637</v>
      </c>
      <c r="K944">
        <f t="shared" ca="1" si="84"/>
        <v>0</v>
      </c>
      <c r="L944">
        <f t="shared" ca="1" si="85"/>
        <v>0</v>
      </c>
      <c r="M944" t="str">
        <f t="shared" ca="1" si="86"/>
        <v>Low</v>
      </c>
      <c r="N944">
        <f t="shared" ca="1" si="87"/>
        <v>2.4</v>
      </c>
      <c r="O944">
        <f t="shared" ca="1" si="88"/>
        <v>0</v>
      </c>
      <c r="P944">
        <f t="shared" ca="1" si="89"/>
        <v>0</v>
      </c>
    </row>
    <row r="945" spans="1:16" x14ac:dyDescent="0.3">
      <c r="A945" t="s">
        <v>1391</v>
      </c>
      <c r="B945" t="s">
        <v>371</v>
      </c>
      <c r="C945" t="s">
        <v>25</v>
      </c>
      <c r="D945" t="s">
        <v>13</v>
      </c>
      <c r="E945" s="1">
        <v>46062</v>
      </c>
      <c r="F945">
        <v>34479.35</v>
      </c>
      <c r="G945">
        <v>4.82</v>
      </c>
      <c r="H945">
        <v>360</v>
      </c>
      <c r="I945" t="s">
        <v>27</v>
      </c>
      <c r="J945">
        <v>0</v>
      </c>
      <c r="K945">
        <f t="shared" ca="1" si="84"/>
        <v>0</v>
      </c>
      <c r="L945">
        <f t="shared" ca="1" si="85"/>
        <v>0</v>
      </c>
      <c r="M945" t="str">
        <f t="shared" ca="1" si="86"/>
        <v>Low</v>
      </c>
      <c r="N945">
        <f t="shared" ca="1" si="87"/>
        <v>3.6</v>
      </c>
      <c r="O945">
        <f t="shared" ca="1" si="88"/>
        <v>0</v>
      </c>
      <c r="P945">
        <f t="shared" ca="1" si="89"/>
        <v>0</v>
      </c>
    </row>
    <row r="946" spans="1:16" x14ac:dyDescent="0.3">
      <c r="A946" t="s">
        <v>1392</v>
      </c>
      <c r="B946" t="s">
        <v>476</v>
      </c>
      <c r="C946" t="s">
        <v>123</v>
      </c>
      <c r="D946" t="s">
        <v>22</v>
      </c>
      <c r="E946" s="1">
        <v>45356</v>
      </c>
      <c r="F946">
        <v>17009.810000000001</v>
      </c>
      <c r="G946">
        <v>6.29</v>
      </c>
      <c r="H946">
        <v>180</v>
      </c>
      <c r="I946" t="s">
        <v>27</v>
      </c>
      <c r="J946">
        <v>0</v>
      </c>
      <c r="K946">
        <f t="shared" ca="1" si="84"/>
        <v>0</v>
      </c>
      <c r="L946">
        <f t="shared" ca="1" si="85"/>
        <v>0</v>
      </c>
      <c r="M946" t="str">
        <f t="shared" ca="1" si="86"/>
        <v>Low</v>
      </c>
      <c r="N946">
        <f t="shared" ca="1" si="87"/>
        <v>1.8</v>
      </c>
      <c r="O946">
        <f t="shared" ca="1" si="88"/>
        <v>0</v>
      </c>
      <c r="P946">
        <f t="shared" ca="1" si="89"/>
        <v>13607.848</v>
      </c>
    </row>
    <row r="947" spans="1:16" x14ac:dyDescent="0.3">
      <c r="A947" t="s">
        <v>1393</v>
      </c>
      <c r="B947" t="s">
        <v>591</v>
      </c>
      <c r="C947" t="s">
        <v>54</v>
      </c>
      <c r="D947" t="s">
        <v>75</v>
      </c>
      <c r="E947" s="1">
        <v>46009</v>
      </c>
      <c r="F947">
        <v>92380.12</v>
      </c>
      <c r="G947">
        <v>9.66</v>
      </c>
      <c r="H947">
        <v>180</v>
      </c>
      <c r="I947" t="s">
        <v>27</v>
      </c>
      <c r="J947">
        <v>0</v>
      </c>
      <c r="K947">
        <f t="shared" ca="1" si="84"/>
        <v>0</v>
      </c>
      <c r="L947">
        <f t="shared" ca="1" si="85"/>
        <v>0</v>
      </c>
      <c r="M947" t="str">
        <f t="shared" ca="1" si="86"/>
        <v>Low</v>
      </c>
      <c r="N947">
        <f t="shared" ca="1" si="87"/>
        <v>1.8</v>
      </c>
      <c r="O947">
        <f t="shared" ca="1" si="88"/>
        <v>0</v>
      </c>
      <c r="P947">
        <f t="shared" ca="1" si="89"/>
        <v>75751.698399999994</v>
      </c>
    </row>
    <row r="948" spans="1:16" x14ac:dyDescent="0.3">
      <c r="A948" t="s">
        <v>1394</v>
      </c>
      <c r="B948" t="s">
        <v>290</v>
      </c>
      <c r="C948" t="s">
        <v>70</v>
      </c>
      <c r="D948" t="s">
        <v>22</v>
      </c>
      <c r="E948" s="1">
        <v>45605</v>
      </c>
      <c r="F948">
        <v>95050.85</v>
      </c>
      <c r="G948">
        <v>16.86</v>
      </c>
      <c r="H948">
        <v>24</v>
      </c>
      <c r="I948" t="s">
        <v>14</v>
      </c>
      <c r="J948">
        <v>47525</v>
      </c>
      <c r="K948">
        <f t="shared" ca="1" si="84"/>
        <v>0</v>
      </c>
      <c r="L948">
        <f t="shared" ca="1" si="85"/>
        <v>0</v>
      </c>
      <c r="M948" t="str">
        <f t="shared" ca="1" si="86"/>
        <v>Low</v>
      </c>
      <c r="N948">
        <f t="shared" ca="1" si="87"/>
        <v>0.24</v>
      </c>
      <c r="O948">
        <f t="shared" ca="1" si="88"/>
        <v>0</v>
      </c>
      <c r="P948">
        <f t="shared" ca="1" si="89"/>
        <v>80793.222500000003</v>
      </c>
    </row>
    <row r="949" spans="1:16" x14ac:dyDescent="0.3">
      <c r="A949" t="s">
        <v>1395</v>
      </c>
      <c r="B949" t="s">
        <v>1396</v>
      </c>
      <c r="C949" t="s">
        <v>123</v>
      </c>
      <c r="D949" t="s">
        <v>13</v>
      </c>
      <c r="E949" s="1">
        <v>45907</v>
      </c>
      <c r="F949">
        <v>6641.89</v>
      </c>
      <c r="G949">
        <v>12.24</v>
      </c>
      <c r="H949">
        <v>24</v>
      </c>
      <c r="I949" t="s">
        <v>14</v>
      </c>
      <c r="J949">
        <v>4118</v>
      </c>
      <c r="K949">
        <f t="shared" ca="1" si="84"/>
        <v>0</v>
      </c>
      <c r="L949">
        <f t="shared" ca="1" si="85"/>
        <v>0</v>
      </c>
      <c r="M949" t="str">
        <f t="shared" ca="1" si="86"/>
        <v>Low</v>
      </c>
      <c r="N949">
        <f t="shared" ca="1" si="87"/>
        <v>0.24</v>
      </c>
      <c r="O949">
        <f t="shared" ca="1" si="88"/>
        <v>0</v>
      </c>
      <c r="P949">
        <f t="shared" ca="1" si="89"/>
        <v>0</v>
      </c>
    </row>
    <row r="950" spans="1:16" x14ac:dyDescent="0.3">
      <c r="A950" t="s">
        <v>1397</v>
      </c>
      <c r="B950" t="s">
        <v>652</v>
      </c>
      <c r="C950" t="s">
        <v>39</v>
      </c>
      <c r="D950" t="s">
        <v>26</v>
      </c>
      <c r="E950" s="1">
        <v>45302</v>
      </c>
      <c r="F950">
        <v>3879.63</v>
      </c>
      <c r="G950">
        <v>15.68</v>
      </c>
      <c r="H950">
        <v>72</v>
      </c>
      <c r="I950" t="s">
        <v>14</v>
      </c>
      <c r="J950">
        <v>2289</v>
      </c>
      <c r="K950">
        <f t="shared" ca="1" si="84"/>
        <v>0</v>
      </c>
      <c r="L950">
        <f t="shared" ca="1" si="85"/>
        <v>0</v>
      </c>
      <c r="M950" t="str">
        <f t="shared" ca="1" si="86"/>
        <v>Low</v>
      </c>
      <c r="N950">
        <f t="shared" ca="1" si="87"/>
        <v>0.72</v>
      </c>
      <c r="O950">
        <f t="shared" ca="1" si="88"/>
        <v>0</v>
      </c>
      <c r="P950">
        <f t="shared" ca="1" si="89"/>
        <v>4306.3892999999998</v>
      </c>
    </row>
    <row r="951" spans="1:16" x14ac:dyDescent="0.3">
      <c r="A951" t="s">
        <v>1398</v>
      </c>
      <c r="B951" t="s">
        <v>563</v>
      </c>
      <c r="C951" t="s">
        <v>54</v>
      </c>
      <c r="D951" t="s">
        <v>26</v>
      </c>
      <c r="E951" s="1">
        <v>45597</v>
      </c>
      <c r="F951">
        <v>60678.43</v>
      </c>
      <c r="G951">
        <v>4.4000000000000004</v>
      </c>
      <c r="H951">
        <v>24</v>
      </c>
      <c r="I951" t="s">
        <v>14</v>
      </c>
      <c r="J951">
        <v>30339</v>
      </c>
      <c r="K951">
        <f t="shared" ca="1" si="84"/>
        <v>0</v>
      </c>
      <c r="L951">
        <f t="shared" ca="1" si="85"/>
        <v>0</v>
      </c>
      <c r="M951" t="str">
        <f t="shared" ca="1" si="86"/>
        <v>Low</v>
      </c>
      <c r="N951">
        <f t="shared" ca="1" si="87"/>
        <v>0.24</v>
      </c>
      <c r="O951">
        <f t="shared" ca="1" si="88"/>
        <v>0</v>
      </c>
      <c r="P951">
        <f t="shared" ca="1" si="89"/>
        <v>74027.684599999993</v>
      </c>
    </row>
    <row r="952" spans="1:16" x14ac:dyDescent="0.3">
      <c r="A952" t="s">
        <v>1399</v>
      </c>
      <c r="B952" t="s">
        <v>1211</v>
      </c>
      <c r="C952" t="s">
        <v>51</v>
      </c>
      <c r="D952" t="s">
        <v>26</v>
      </c>
      <c r="E952" s="1">
        <v>45902</v>
      </c>
      <c r="F952">
        <v>34933.589999999997</v>
      </c>
      <c r="G952">
        <v>7.32</v>
      </c>
      <c r="H952">
        <v>12</v>
      </c>
      <c r="I952" t="s">
        <v>27</v>
      </c>
      <c r="J952">
        <v>0</v>
      </c>
      <c r="K952">
        <f t="shared" ca="1" si="84"/>
        <v>45</v>
      </c>
      <c r="L952">
        <f t="shared" ca="1" si="85"/>
        <v>0</v>
      </c>
      <c r="M952" t="str">
        <f t="shared" ca="1" si="86"/>
        <v>Medium</v>
      </c>
      <c r="N952">
        <f t="shared" ca="1" si="87"/>
        <v>0.60000000000000009</v>
      </c>
      <c r="O952">
        <f t="shared" ca="1" si="88"/>
        <v>0</v>
      </c>
      <c r="P952">
        <f t="shared" ca="1" si="89"/>
        <v>24802.848899999997</v>
      </c>
    </row>
    <row r="953" spans="1:16" x14ac:dyDescent="0.3">
      <c r="A953" t="s">
        <v>1400</v>
      </c>
      <c r="B953" t="s">
        <v>1386</v>
      </c>
      <c r="C953" t="s">
        <v>70</v>
      </c>
      <c r="D953" t="s">
        <v>18</v>
      </c>
      <c r="E953" s="1">
        <v>46168</v>
      </c>
      <c r="F953">
        <v>42666.35</v>
      </c>
      <c r="G953">
        <v>20.43</v>
      </c>
      <c r="H953">
        <v>84</v>
      </c>
      <c r="I953" t="s">
        <v>14</v>
      </c>
      <c r="J953">
        <v>32426</v>
      </c>
      <c r="K953">
        <f t="shared" ca="1" si="84"/>
        <v>120</v>
      </c>
      <c r="L953">
        <f t="shared" ca="1" si="85"/>
        <v>1</v>
      </c>
      <c r="M953" t="str">
        <f t="shared" ca="1" si="86"/>
        <v>High</v>
      </c>
      <c r="N953">
        <f t="shared" ca="1" si="87"/>
        <v>21</v>
      </c>
      <c r="O953">
        <f t="shared" ca="1" si="88"/>
        <v>13.44</v>
      </c>
      <c r="P953">
        <f t="shared" ca="1" si="89"/>
        <v>0</v>
      </c>
    </row>
    <row r="954" spans="1:16" x14ac:dyDescent="0.3">
      <c r="A954" t="s">
        <v>1401</v>
      </c>
      <c r="B954" t="s">
        <v>859</v>
      </c>
      <c r="C954" t="s">
        <v>54</v>
      </c>
      <c r="D954" t="s">
        <v>18</v>
      </c>
      <c r="E954" s="1">
        <v>45422</v>
      </c>
      <c r="F954">
        <v>54845.57</v>
      </c>
      <c r="G954">
        <v>6.84</v>
      </c>
      <c r="H954">
        <v>60</v>
      </c>
      <c r="I954" t="s">
        <v>14</v>
      </c>
      <c r="J954">
        <v>39489</v>
      </c>
      <c r="K954">
        <f t="shared" ca="1" si="84"/>
        <v>15</v>
      </c>
      <c r="L954">
        <f t="shared" ca="1" si="85"/>
        <v>0</v>
      </c>
      <c r="M954" t="str">
        <f t="shared" ca="1" si="86"/>
        <v>Low</v>
      </c>
      <c r="N954">
        <f t="shared" ca="1" si="87"/>
        <v>0.6</v>
      </c>
      <c r="O954">
        <f t="shared" ca="1" si="88"/>
        <v>0</v>
      </c>
      <c r="P954">
        <f t="shared" ca="1" si="89"/>
        <v>0</v>
      </c>
    </row>
    <row r="955" spans="1:16" x14ac:dyDescent="0.3">
      <c r="A955" t="s">
        <v>1402</v>
      </c>
      <c r="B955" t="s">
        <v>148</v>
      </c>
      <c r="C955" t="s">
        <v>39</v>
      </c>
      <c r="D955" t="s">
        <v>18</v>
      </c>
      <c r="E955" s="1">
        <v>45891</v>
      </c>
      <c r="F955">
        <v>88430.9</v>
      </c>
      <c r="G955">
        <v>14.15</v>
      </c>
      <c r="H955">
        <v>36</v>
      </c>
      <c r="I955" t="s">
        <v>14</v>
      </c>
      <c r="J955">
        <v>53059</v>
      </c>
      <c r="K955">
        <f t="shared" ca="1" si="84"/>
        <v>90</v>
      </c>
      <c r="L955">
        <f t="shared" ca="1" si="85"/>
        <v>1</v>
      </c>
      <c r="M955" t="str">
        <f t="shared" ca="1" si="86"/>
        <v>High</v>
      </c>
      <c r="N955">
        <f t="shared" ca="1" si="87"/>
        <v>9</v>
      </c>
      <c r="O955">
        <f t="shared" ca="1" si="88"/>
        <v>8.2799999999999994</v>
      </c>
      <c r="P955">
        <f t="shared" ca="1" si="89"/>
        <v>0</v>
      </c>
    </row>
    <row r="956" spans="1:16" x14ac:dyDescent="0.3">
      <c r="A956" t="s">
        <v>1403</v>
      </c>
      <c r="B956" t="s">
        <v>569</v>
      </c>
      <c r="C956" t="s">
        <v>33</v>
      </c>
      <c r="D956" t="s">
        <v>13</v>
      </c>
      <c r="E956" s="1">
        <v>45471</v>
      </c>
      <c r="F956">
        <v>84157.38</v>
      </c>
      <c r="G956">
        <v>4.76</v>
      </c>
      <c r="H956">
        <v>24</v>
      </c>
      <c r="I956" t="s">
        <v>19</v>
      </c>
      <c r="J956">
        <v>0</v>
      </c>
      <c r="K956">
        <f t="shared" ca="1" si="84"/>
        <v>0</v>
      </c>
      <c r="L956">
        <f t="shared" ca="1" si="85"/>
        <v>0</v>
      </c>
      <c r="M956" t="str">
        <f t="shared" ca="1" si="86"/>
        <v>Low</v>
      </c>
      <c r="N956">
        <f t="shared" ca="1" si="87"/>
        <v>0.24</v>
      </c>
      <c r="O956">
        <f t="shared" ca="1" si="88"/>
        <v>0</v>
      </c>
      <c r="P956">
        <f t="shared" ca="1" si="89"/>
        <v>0</v>
      </c>
    </row>
    <row r="957" spans="1:16" x14ac:dyDescent="0.3">
      <c r="A957" t="s">
        <v>1404</v>
      </c>
      <c r="B957" t="s">
        <v>125</v>
      </c>
      <c r="C957" t="s">
        <v>33</v>
      </c>
      <c r="D957" t="s">
        <v>30</v>
      </c>
      <c r="E957" s="1">
        <v>45464</v>
      </c>
      <c r="F957">
        <v>29929.58</v>
      </c>
      <c r="G957">
        <v>14.5</v>
      </c>
      <c r="H957">
        <v>180</v>
      </c>
      <c r="I957" t="s">
        <v>14</v>
      </c>
      <c r="J957">
        <v>15563</v>
      </c>
      <c r="K957">
        <f t="shared" ca="1" si="84"/>
        <v>45</v>
      </c>
      <c r="L957">
        <f t="shared" ca="1" si="85"/>
        <v>0</v>
      </c>
      <c r="M957" t="str">
        <f t="shared" ca="1" si="86"/>
        <v>Medium</v>
      </c>
      <c r="N957">
        <f t="shared" ca="1" si="87"/>
        <v>9</v>
      </c>
      <c r="O957">
        <f t="shared" ca="1" si="88"/>
        <v>0</v>
      </c>
      <c r="P957">
        <f t="shared" ca="1" si="89"/>
        <v>0</v>
      </c>
    </row>
    <row r="958" spans="1:16" x14ac:dyDescent="0.3">
      <c r="A958" t="s">
        <v>1405</v>
      </c>
      <c r="B958" t="s">
        <v>383</v>
      </c>
      <c r="C958" t="s">
        <v>33</v>
      </c>
      <c r="D958" t="s">
        <v>30</v>
      </c>
      <c r="E958" s="1">
        <v>46008</v>
      </c>
      <c r="F958">
        <v>46599.3</v>
      </c>
      <c r="G958">
        <v>19.760000000000002</v>
      </c>
      <c r="H958">
        <v>12</v>
      </c>
      <c r="I958" t="s">
        <v>27</v>
      </c>
      <c r="J958">
        <v>0</v>
      </c>
      <c r="K958">
        <f t="shared" ca="1" si="84"/>
        <v>45</v>
      </c>
      <c r="L958">
        <f t="shared" ca="1" si="85"/>
        <v>0</v>
      </c>
      <c r="M958" t="str">
        <f t="shared" ca="1" si="86"/>
        <v>Medium</v>
      </c>
      <c r="N958">
        <f t="shared" ca="1" si="87"/>
        <v>0.60000000000000009</v>
      </c>
      <c r="O958">
        <f t="shared" ca="1" si="88"/>
        <v>0</v>
      </c>
      <c r="P958">
        <f t="shared" ca="1" si="89"/>
        <v>0</v>
      </c>
    </row>
    <row r="959" spans="1:16" x14ac:dyDescent="0.3">
      <c r="A959" t="s">
        <v>1406</v>
      </c>
      <c r="B959" t="s">
        <v>154</v>
      </c>
      <c r="C959" t="s">
        <v>54</v>
      </c>
      <c r="D959" t="s">
        <v>18</v>
      </c>
      <c r="E959" s="1">
        <v>45594</v>
      </c>
      <c r="F959">
        <v>65679.179999999993</v>
      </c>
      <c r="G959">
        <v>17.88</v>
      </c>
      <c r="H959">
        <v>360</v>
      </c>
      <c r="I959" t="s">
        <v>14</v>
      </c>
      <c r="J959">
        <v>41378</v>
      </c>
      <c r="K959">
        <f t="shared" ca="1" si="84"/>
        <v>15</v>
      </c>
      <c r="L959">
        <f t="shared" ca="1" si="85"/>
        <v>0</v>
      </c>
      <c r="M959" t="str">
        <f t="shared" ca="1" si="86"/>
        <v>Low</v>
      </c>
      <c r="N959">
        <f t="shared" ca="1" si="87"/>
        <v>3.6</v>
      </c>
      <c r="O959">
        <f t="shared" ca="1" si="88"/>
        <v>0</v>
      </c>
      <c r="P959">
        <f t="shared" ca="1" si="89"/>
        <v>0</v>
      </c>
    </row>
    <row r="960" spans="1:16" x14ac:dyDescent="0.3">
      <c r="A960" t="s">
        <v>1407</v>
      </c>
      <c r="B960" t="s">
        <v>419</v>
      </c>
      <c r="C960" t="s">
        <v>12</v>
      </c>
      <c r="D960" t="s">
        <v>22</v>
      </c>
      <c r="E960" s="1">
        <v>46147</v>
      </c>
      <c r="F960">
        <v>91858.86</v>
      </c>
      <c r="G960">
        <v>17.84</v>
      </c>
      <c r="H960">
        <v>72</v>
      </c>
      <c r="I960" t="s">
        <v>27</v>
      </c>
      <c r="J960">
        <v>0</v>
      </c>
      <c r="K960">
        <f t="shared" ca="1" si="84"/>
        <v>15</v>
      </c>
      <c r="L960">
        <f t="shared" ca="1" si="85"/>
        <v>0</v>
      </c>
      <c r="M960" t="str">
        <f t="shared" ca="1" si="86"/>
        <v>Low</v>
      </c>
      <c r="N960">
        <f t="shared" ca="1" si="87"/>
        <v>0.72</v>
      </c>
      <c r="O960">
        <f t="shared" ca="1" si="88"/>
        <v>0</v>
      </c>
      <c r="P960">
        <f t="shared" ca="1" si="89"/>
        <v>78080.031000000003</v>
      </c>
    </row>
    <row r="961" spans="1:16" x14ac:dyDescent="0.3">
      <c r="A961" t="s">
        <v>1408</v>
      </c>
      <c r="B961" t="s">
        <v>891</v>
      </c>
      <c r="C961" t="s">
        <v>17</v>
      </c>
      <c r="D961" t="s">
        <v>18</v>
      </c>
      <c r="E961" s="1">
        <v>45316</v>
      </c>
      <c r="F961">
        <v>73150.539999999994</v>
      </c>
      <c r="G961">
        <v>13.69</v>
      </c>
      <c r="H961">
        <v>48</v>
      </c>
      <c r="I961" t="s">
        <v>27</v>
      </c>
      <c r="J961">
        <v>0</v>
      </c>
      <c r="K961">
        <f t="shared" ca="1" si="84"/>
        <v>15</v>
      </c>
      <c r="L961">
        <f t="shared" ca="1" si="85"/>
        <v>0</v>
      </c>
      <c r="M961" t="str">
        <f t="shared" ca="1" si="86"/>
        <v>Low</v>
      </c>
      <c r="N961">
        <f t="shared" ca="1" si="87"/>
        <v>0.48</v>
      </c>
      <c r="O961">
        <f t="shared" ca="1" si="88"/>
        <v>0</v>
      </c>
      <c r="P961">
        <f t="shared" ca="1" si="89"/>
        <v>0</v>
      </c>
    </row>
    <row r="962" spans="1:16" x14ac:dyDescent="0.3">
      <c r="A962" t="s">
        <v>1409</v>
      </c>
      <c r="B962" t="s">
        <v>65</v>
      </c>
      <c r="C962" t="s">
        <v>123</v>
      </c>
      <c r="D962" t="s">
        <v>22</v>
      </c>
      <c r="E962" s="1">
        <v>45489</v>
      </c>
      <c r="F962">
        <v>11675.69</v>
      </c>
      <c r="G962">
        <v>13.69</v>
      </c>
      <c r="H962">
        <v>72</v>
      </c>
      <c r="I962" t="s">
        <v>19</v>
      </c>
      <c r="J962">
        <v>0</v>
      </c>
      <c r="K962">
        <f t="shared" ca="1" si="84"/>
        <v>0</v>
      </c>
      <c r="L962">
        <f t="shared" ca="1" si="85"/>
        <v>0</v>
      </c>
      <c r="M962" t="str">
        <f t="shared" ca="1" si="86"/>
        <v>Low</v>
      </c>
      <c r="N962">
        <f t="shared" ca="1" si="87"/>
        <v>0.72</v>
      </c>
      <c r="O962">
        <f t="shared" ca="1" si="88"/>
        <v>0</v>
      </c>
      <c r="P962">
        <f t="shared" ca="1" si="89"/>
        <v>10157.8503</v>
      </c>
    </row>
    <row r="963" spans="1:16" x14ac:dyDescent="0.3">
      <c r="A963" t="s">
        <v>1410</v>
      </c>
      <c r="B963" t="s">
        <v>343</v>
      </c>
      <c r="C963" t="s">
        <v>54</v>
      </c>
      <c r="D963" t="s">
        <v>75</v>
      </c>
      <c r="E963" s="1">
        <v>45837</v>
      </c>
      <c r="F963">
        <v>85422.79</v>
      </c>
      <c r="G963">
        <v>18.77</v>
      </c>
      <c r="H963">
        <v>24</v>
      </c>
      <c r="I963" t="s">
        <v>14</v>
      </c>
      <c r="J963">
        <v>74318</v>
      </c>
      <c r="K963">
        <f t="shared" ref="K963:K1001" ca="1" si="90">IF(I963="Paid Off",0,CHOOSE(RANDBETWEEN(1,10),0,0,0,0,15,30,45,60,90,120))</f>
        <v>45</v>
      </c>
      <c r="L963">
        <f t="shared" ref="L963:L1001" ca="1" si="91">IF(K963&gt;=90,1,0)</f>
        <v>0</v>
      </c>
      <c r="M963" t="str">
        <f t="shared" ref="M963:M1001" ca="1" si="92">IF(K963&gt;=90,"High",IF(K963&gt;=30,"Medium","Low"))</f>
        <v>Medium</v>
      </c>
      <c r="N963">
        <f t="shared" ref="N963:N1001" ca="1" si="93">IF(L963=1,H963*0.25,IF(K963&gt;=60,H963*0.1,IF(K963&gt;=30,H963*0.05,H963*0.01)))</f>
        <v>1.2000000000000002</v>
      </c>
      <c r="O963">
        <f t="shared" ref="O963:O1001" ca="1" si="94">IF(L963=1,H963*RANDBETWEEN(5,30)/100,0)</f>
        <v>0</v>
      </c>
      <c r="P963">
        <f t="shared" ref="P963:P1001" ca="1" si="95">IF(OR(D963="P02",D963="P03",D963="P05"),F963*RANDBETWEEN(70,130)/100,0)</f>
        <v>97381.980599999981</v>
      </c>
    </row>
    <row r="964" spans="1:16" x14ac:dyDescent="0.3">
      <c r="A964" t="s">
        <v>1411</v>
      </c>
      <c r="B964" t="s">
        <v>125</v>
      </c>
      <c r="C964" t="s">
        <v>12</v>
      </c>
      <c r="D964" t="s">
        <v>22</v>
      </c>
      <c r="E964" s="1">
        <v>46069</v>
      </c>
      <c r="F964">
        <v>17676.169999999998</v>
      </c>
      <c r="G964">
        <v>4.3099999999999996</v>
      </c>
      <c r="H964">
        <v>120</v>
      </c>
      <c r="I964" t="s">
        <v>14</v>
      </c>
      <c r="J964">
        <v>16439</v>
      </c>
      <c r="K964">
        <f t="shared" ca="1" si="90"/>
        <v>0</v>
      </c>
      <c r="L964">
        <f t="shared" ca="1" si="91"/>
        <v>0</v>
      </c>
      <c r="M964" t="str">
        <f t="shared" ca="1" si="92"/>
        <v>Low</v>
      </c>
      <c r="N964">
        <f t="shared" ca="1" si="93"/>
        <v>1.2</v>
      </c>
      <c r="O964">
        <f t="shared" ca="1" si="94"/>
        <v>0</v>
      </c>
      <c r="P964">
        <f t="shared" ca="1" si="95"/>
        <v>17322.6466</v>
      </c>
    </row>
    <row r="965" spans="1:16" x14ac:dyDescent="0.3">
      <c r="A965" t="s">
        <v>1412</v>
      </c>
      <c r="B965" t="s">
        <v>1110</v>
      </c>
      <c r="C965" t="s">
        <v>51</v>
      </c>
      <c r="D965" t="s">
        <v>30</v>
      </c>
      <c r="E965" s="1">
        <v>46158</v>
      </c>
      <c r="F965">
        <v>5268.59</v>
      </c>
      <c r="G965">
        <v>6.59</v>
      </c>
      <c r="H965">
        <v>36</v>
      </c>
      <c r="I965" t="s">
        <v>14</v>
      </c>
      <c r="J965">
        <v>3372</v>
      </c>
      <c r="K965">
        <f t="shared" ca="1" si="90"/>
        <v>15</v>
      </c>
      <c r="L965">
        <f t="shared" ca="1" si="91"/>
        <v>0</v>
      </c>
      <c r="M965" t="str">
        <f t="shared" ca="1" si="92"/>
        <v>Low</v>
      </c>
      <c r="N965">
        <f t="shared" ca="1" si="93"/>
        <v>0.36</v>
      </c>
      <c r="O965">
        <f t="shared" ca="1" si="94"/>
        <v>0</v>
      </c>
      <c r="P965">
        <f t="shared" ca="1" si="95"/>
        <v>0</v>
      </c>
    </row>
    <row r="966" spans="1:16" x14ac:dyDescent="0.3">
      <c r="A966" t="s">
        <v>1413</v>
      </c>
      <c r="B966" t="s">
        <v>1414</v>
      </c>
      <c r="C966" t="s">
        <v>25</v>
      </c>
      <c r="D966" t="s">
        <v>75</v>
      </c>
      <c r="E966" s="1">
        <v>46064</v>
      </c>
      <c r="F966">
        <v>16315.37</v>
      </c>
      <c r="G966">
        <v>12.1</v>
      </c>
      <c r="H966">
        <v>24</v>
      </c>
      <c r="I966" t="s">
        <v>14</v>
      </c>
      <c r="J966">
        <v>12563</v>
      </c>
      <c r="K966">
        <f t="shared" ca="1" si="90"/>
        <v>90</v>
      </c>
      <c r="L966">
        <f t="shared" ca="1" si="91"/>
        <v>1</v>
      </c>
      <c r="M966" t="str">
        <f t="shared" ca="1" si="92"/>
        <v>High</v>
      </c>
      <c r="N966">
        <f t="shared" ca="1" si="93"/>
        <v>6</v>
      </c>
      <c r="O966">
        <f t="shared" ca="1" si="94"/>
        <v>3.84</v>
      </c>
      <c r="P966">
        <f t="shared" ca="1" si="95"/>
        <v>16804.831099999999</v>
      </c>
    </row>
    <row r="967" spans="1:16" x14ac:dyDescent="0.3">
      <c r="A967" t="s">
        <v>1415</v>
      </c>
      <c r="B967" t="s">
        <v>478</v>
      </c>
      <c r="C967" t="s">
        <v>33</v>
      </c>
      <c r="D967" t="s">
        <v>26</v>
      </c>
      <c r="E967" s="1">
        <v>45650</v>
      </c>
      <c r="F967">
        <v>20603.25</v>
      </c>
      <c r="G967">
        <v>7.31</v>
      </c>
      <c r="H967">
        <v>72</v>
      </c>
      <c r="I967" t="s">
        <v>14</v>
      </c>
      <c r="J967">
        <v>12156</v>
      </c>
      <c r="K967">
        <f t="shared" ca="1" si="90"/>
        <v>15</v>
      </c>
      <c r="L967">
        <f t="shared" ca="1" si="91"/>
        <v>0</v>
      </c>
      <c r="M967" t="str">
        <f t="shared" ca="1" si="92"/>
        <v>Low</v>
      </c>
      <c r="N967">
        <f t="shared" ca="1" si="93"/>
        <v>0.72</v>
      </c>
      <c r="O967">
        <f t="shared" ca="1" si="94"/>
        <v>0</v>
      </c>
      <c r="P967">
        <f t="shared" ca="1" si="95"/>
        <v>18130.86</v>
      </c>
    </row>
    <row r="968" spans="1:16" x14ac:dyDescent="0.3">
      <c r="A968" t="s">
        <v>1416</v>
      </c>
      <c r="B968" t="s">
        <v>739</v>
      </c>
      <c r="C968" t="s">
        <v>39</v>
      </c>
      <c r="D968" t="s">
        <v>30</v>
      </c>
      <c r="E968" s="1">
        <v>45889</v>
      </c>
      <c r="F968">
        <v>13203.86</v>
      </c>
      <c r="G968">
        <v>9.4700000000000006</v>
      </c>
      <c r="H968">
        <v>84</v>
      </c>
      <c r="I968" t="s">
        <v>14</v>
      </c>
      <c r="J968">
        <v>5150</v>
      </c>
      <c r="K968">
        <f t="shared" ca="1" si="90"/>
        <v>0</v>
      </c>
      <c r="L968">
        <f t="shared" ca="1" si="91"/>
        <v>0</v>
      </c>
      <c r="M968" t="str">
        <f t="shared" ca="1" si="92"/>
        <v>Low</v>
      </c>
      <c r="N968">
        <f t="shared" ca="1" si="93"/>
        <v>0.84</v>
      </c>
      <c r="O968">
        <f t="shared" ca="1" si="94"/>
        <v>0</v>
      </c>
      <c r="P968">
        <f t="shared" ca="1" si="95"/>
        <v>0</v>
      </c>
    </row>
    <row r="969" spans="1:16" x14ac:dyDescent="0.3">
      <c r="A969" t="s">
        <v>1417</v>
      </c>
      <c r="B969" t="s">
        <v>1169</v>
      </c>
      <c r="C969" t="s">
        <v>54</v>
      </c>
      <c r="D969" t="s">
        <v>75</v>
      </c>
      <c r="E969" s="1">
        <v>45712</v>
      </c>
      <c r="F969">
        <v>2876.33</v>
      </c>
      <c r="G969">
        <v>7.65</v>
      </c>
      <c r="H969">
        <v>60</v>
      </c>
      <c r="I969" t="s">
        <v>14</v>
      </c>
      <c r="J969">
        <v>2128</v>
      </c>
      <c r="K969">
        <f t="shared" ca="1" si="90"/>
        <v>0</v>
      </c>
      <c r="L969">
        <f t="shared" ca="1" si="91"/>
        <v>0</v>
      </c>
      <c r="M969" t="str">
        <f t="shared" ca="1" si="92"/>
        <v>Low</v>
      </c>
      <c r="N969">
        <f t="shared" ca="1" si="93"/>
        <v>0.6</v>
      </c>
      <c r="O969">
        <f t="shared" ca="1" si="94"/>
        <v>0</v>
      </c>
      <c r="P969">
        <f t="shared" ca="1" si="95"/>
        <v>2186.0108</v>
      </c>
    </row>
    <row r="970" spans="1:16" x14ac:dyDescent="0.3">
      <c r="A970" t="s">
        <v>1418</v>
      </c>
      <c r="B970" t="s">
        <v>474</v>
      </c>
      <c r="C970" t="s">
        <v>17</v>
      </c>
      <c r="D970" t="s">
        <v>22</v>
      </c>
      <c r="E970" s="1">
        <v>45572</v>
      </c>
      <c r="F970">
        <v>64417.13</v>
      </c>
      <c r="G970">
        <v>6.36</v>
      </c>
      <c r="H970">
        <v>60</v>
      </c>
      <c r="I970" t="s">
        <v>14</v>
      </c>
      <c r="J970">
        <v>45092</v>
      </c>
      <c r="K970">
        <f t="shared" ca="1" si="90"/>
        <v>15</v>
      </c>
      <c r="L970">
        <f t="shared" ca="1" si="91"/>
        <v>0</v>
      </c>
      <c r="M970" t="str">
        <f t="shared" ca="1" si="92"/>
        <v>Low</v>
      </c>
      <c r="N970">
        <f t="shared" ca="1" si="93"/>
        <v>0.6</v>
      </c>
      <c r="O970">
        <f t="shared" ca="1" si="94"/>
        <v>0</v>
      </c>
      <c r="P970">
        <f t="shared" ca="1" si="95"/>
        <v>65705.472599999994</v>
      </c>
    </row>
    <row r="971" spans="1:16" x14ac:dyDescent="0.3">
      <c r="A971" t="s">
        <v>1419</v>
      </c>
      <c r="B971" t="s">
        <v>1228</v>
      </c>
      <c r="C971" t="s">
        <v>25</v>
      </c>
      <c r="D971" t="s">
        <v>30</v>
      </c>
      <c r="E971" s="1">
        <v>45637</v>
      </c>
      <c r="F971">
        <v>78313.39</v>
      </c>
      <c r="G971">
        <v>21.82</v>
      </c>
      <c r="H971">
        <v>360</v>
      </c>
      <c r="I971" t="s">
        <v>14</v>
      </c>
      <c r="J971">
        <v>71265</v>
      </c>
      <c r="K971">
        <f t="shared" ca="1" si="90"/>
        <v>60</v>
      </c>
      <c r="L971">
        <f t="shared" ca="1" si="91"/>
        <v>0</v>
      </c>
      <c r="M971" t="str">
        <f t="shared" ca="1" si="92"/>
        <v>Medium</v>
      </c>
      <c r="N971">
        <f t="shared" ca="1" si="93"/>
        <v>36</v>
      </c>
      <c r="O971">
        <f t="shared" ca="1" si="94"/>
        <v>0</v>
      </c>
      <c r="P971">
        <f t="shared" ca="1" si="95"/>
        <v>0</v>
      </c>
    </row>
    <row r="972" spans="1:16" x14ac:dyDescent="0.3">
      <c r="A972" t="s">
        <v>1420</v>
      </c>
      <c r="B972" t="s">
        <v>683</v>
      </c>
      <c r="C972" t="s">
        <v>70</v>
      </c>
      <c r="D972" t="s">
        <v>13</v>
      </c>
      <c r="E972" s="1">
        <v>45896</v>
      </c>
      <c r="F972">
        <v>47338.93</v>
      </c>
      <c r="G972">
        <v>12.49</v>
      </c>
      <c r="H972">
        <v>72</v>
      </c>
      <c r="I972" t="s">
        <v>27</v>
      </c>
      <c r="J972">
        <v>0</v>
      </c>
      <c r="K972">
        <f t="shared" ca="1" si="90"/>
        <v>60</v>
      </c>
      <c r="L972">
        <f t="shared" ca="1" si="91"/>
        <v>0</v>
      </c>
      <c r="M972" t="str">
        <f t="shared" ca="1" si="92"/>
        <v>Medium</v>
      </c>
      <c r="N972">
        <f t="shared" ca="1" si="93"/>
        <v>7.2</v>
      </c>
      <c r="O972">
        <f t="shared" ca="1" si="94"/>
        <v>0</v>
      </c>
      <c r="P972">
        <f t="shared" ca="1" si="95"/>
        <v>0</v>
      </c>
    </row>
    <row r="973" spans="1:16" x14ac:dyDescent="0.3">
      <c r="A973" t="s">
        <v>1421</v>
      </c>
      <c r="B973" t="s">
        <v>59</v>
      </c>
      <c r="C973" t="s">
        <v>51</v>
      </c>
      <c r="D973" t="s">
        <v>30</v>
      </c>
      <c r="E973" s="1">
        <v>45844</v>
      </c>
      <c r="F973">
        <v>84840.39</v>
      </c>
      <c r="G973">
        <v>18.239999999999998</v>
      </c>
      <c r="H973">
        <v>360</v>
      </c>
      <c r="I973" t="s">
        <v>27</v>
      </c>
      <c r="J973">
        <v>0</v>
      </c>
      <c r="K973">
        <f t="shared" ca="1" si="90"/>
        <v>90</v>
      </c>
      <c r="L973">
        <f t="shared" ca="1" si="91"/>
        <v>1</v>
      </c>
      <c r="M973" t="str">
        <f t="shared" ca="1" si="92"/>
        <v>High</v>
      </c>
      <c r="N973">
        <f t="shared" ca="1" si="93"/>
        <v>90</v>
      </c>
      <c r="O973">
        <f t="shared" ca="1" si="94"/>
        <v>32.4</v>
      </c>
      <c r="P973">
        <f t="shared" ca="1" si="95"/>
        <v>0</v>
      </c>
    </row>
    <row r="974" spans="1:16" x14ac:dyDescent="0.3">
      <c r="A974" t="s">
        <v>1422</v>
      </c>
      <c r="B974" t="s">
        <v>533</v>
      </c>
      <c r="C974" t="s">
        <v>39</v>
      </c>
      <c r="D974" t="s">
        <v>22</v>
      </c>
      <c r="E974" s="1">
        <v>45493</v>
      </c>
      <c r="F974">
        <v>21486.959999999999</v>
      </c>
      <c r="G974">
        <v>7.34</v>
      </c>
      <c r="H974">
        <v>180</v>
      </c>
      <c r="I974" t="s">
        <v>14</v>
      </c>
      <c r="J974">
        <v>17404</v>
      </c>
      <c r="K974">
        <f t="shared" ca="1" si="90"/>
        <v>0</v>
      </c>
      <c r="L974">
        <f t="shared" ca="1" si="91"/>
        <v>0</v>
      </c>
      <c r="M974" t="str">
        <f t="shared" ca="1" si="92"/>
        <v>Low</v>
      </c>
      <c r="N974">
        <f t="shared" ca="1" si="93"/>
        <v>1.8</v>
      </c>
      <c r="O974">
        <f t="shared" ca="1" si="94"/>
        <v>0</v>
      </c>
      <c r="P974">
        <f t="shared" ca="1" si="95"/>
        <v>21701.829600000001</v>
      </c>
    </row>
    <row r="975" spans="1:16" x14ac:dyDescent="0.3">
      <c r="A975" t="s">
        <v>1423</v>
      </c>
      <c r="B975" t="s">
        <v>1348</v>
      </c>
      <c r="C975" t="s">
        <v>25</v>
      </c>
      <c r="D975" t="s">
        <v>13</v>
      </c>
      <c r="E975" s="1">
        <v>46125</v>
      </c>
      <c r="F975">
        <v>74264.23</v>
      </c>
      <c r="G975">
        <v>18.12</v>
      </c>
      <c r="H975">
        <v>120</v>
      </c>
      <c r="I975" t="s">
        <v>14</v>
      </c>
      <c r="J975">
        <v>69808</v>
      </c>
      <c r="K975">
        <f t="shared" ca="1" si="90"/>
        <v>90</v>
      </c>
      <c r="L975">
        <f t="shared" ca="1" si="91"/>
        <v>1</v>
      </c>
      <c r="M975" t="str">
        <f t="shared" ca="1" si="92"/>
        <v>High</v>
      </c>
      <c r="N975">
        <f t="shared" ca="1" si="93"/>
        <v>30</v>
      </c>
      <c r="O975">
        <f t="shared" ca="1" si="94"/>
        <v>16.8</v>
      </c>
      <c r="P975">
        <f t="shared" ca="1" si="95"/>
        <v>0</v>
      </c>
    </row>
    <row r="976" spans="1:16" x14ac:dyDescent="0.3">
      <c r="A976" t="s">
        <v>1424</v>
      </c>
      <c r="B976" t="s">
        <v>99</v>
      </c>
      <c r="C976" t="s">
        <v>12</v>
      </c>
      <c r="D976" t="s">
        <v>22</v>
      </c>
      <c r="E976" s="1">
        <v>45752</v>
      </c>
      <c r="F976">
        <v>55614.48</v>
      </c>
      <c r="G976">
        <v>5.0199999999999996</v>
      </c>
      <c r="H976">
        <v>72</v>
      </c>
      <c r="I976" t="s">
        <v>27</v>
      </c>
      <c r="J976">
        <v>0</v>
      </c>
      <c r="K976">
        <f t="shared" ca="1" si="90"/>
        <v>30</v>
      </c>
      <c r="L976">
        <f t="shared" ca="1" si="91"/>
        <v>0</v>
      </c>
      <c r="M976" t="str">
        <f t="shared" ca="1" si="92"/>
        <v>Medium</v>
      </c>
      <c r="N976">
        <f t="shared" ca="1" si="93"/>
        <v>3.6</v>
      </c>
      <c r="O976">
        <f t="shared" ca="1" si="94"/>
        <v>0</v>
      </c>
      <c r="P976">
        <f t="shared" ca="1" si="95"/>
        <v>47272.307999999997</v>
      </c>
    </row>
    <row r="977" spans="1:16" x14ac:dyDescent="0.3">
      <c r="A977" t="s">
        <v>1425</v>
      </c>
      <c r="B977" t="s">
        <v>1426</v>
      </c>
      <c r="C977" t="s">
        <v>51</v>
      </c>
      <c r="D977" t="s">
        <v>18</v>
      </c>
      <c r="E977" s="1">
        <v>45376</v>
      </c>
      <c r="F977">
        <v>94648.31</v>
      </c>
      <c r="G977">
        <v>10.45</v>
      </c>
      <c r="H977">
        <v>240</v>
      </c>
      <c r="I977" t="s">
        <v>27</v>
      </c>
      <c r="J977">
        <v>0</v>
      </c>
      <c r="K977">
        <f t="shared" ca="1" si="90"/>
        <v>30</v>
      </c>
      <c r="L977">
        <f t="shared" ca="1" si="91"/>
        <v>0</v>
      </c>
      <c r="M977" t="str">
        <f t="shared" ca="1" si="92"/>
        <v>Medium</v>
      </c>
      <c r="N977">
        <f t="shared" ca="1" si="93"/>
        <v>12</v>
      </c>
      <c r="O977">
        <f t="shared" ca="1" si="94"/>
        <v>0</v>
      </c>
      <c r="P977">
        <f t="shared" ca="1" si="95"/>
        <v>0</v>
      </c>
    </row>
    <row r="978" spans="1:16" x14ac:dyDescent="0.3">
      <c r="A978" t="s">
        <v>1427</v>
      </c>
      <c r="B978" t="s">
        <v>229</v>
      </c>
      <c r="C978" t="s">
        <v>70</v>
      </c>
      <c r="D978" t="s">
        <v>18</v>
      </c>
      <c r="E978" s="1">
        <v>46184</v>
      </c>
      <c r="F978">
        <v>21704.17</v>
      </c>
      <c r="G978">
        <v>14.11</v>
      </c>
      <c r="H978">
        <v>12</v>
      </c>
      <c r="I978" t="s">
        <v>14</v>
      </c>
      <c r="J978">
        <v>12154</v>
      </c>
      <c r="K978">
        <f t="shared" ca="1" si="90"/>
        <v>120</v>
      </c>
      <c r="L978">
        <f t="shared" ca="1" si="91"/>
        <v>1</v>
      </c>
      <c r="M978" t="str">
        <f t="shared" ca="1" si="92"/>
        <v>High</v>
      </c>
      <c r="N978">
        <f t="shared" ca="1" si="93"/>
        <v>3</v>
      </c>
      <c r="O978">
        <f t="shared" ca="1" si="94"/>
        <v>2.2799999999999998</v>
      </c>
      <c r="P978">
        <f t="shared" ca="1" si="95"/>
        <v>0</v>
      </c>
    </row>
    <row r="979" spans="1:16" x14ac:dyDescent="0.3">
      <c r="A979" t="s">
        <v>1428</v>
      </c>
      <c r="B979" t="s">
        <v>1429</v>
      </c>
      <c r="C979" t="s">
        <v>25</v>
      </c>
      <c r="D979" t="s">
        <v>18</v>
      </c>
      <c r="E979" s="1">
        <v>45454</v>
      </c>
      <c r="F979">
        <v>42326.93</v>
      </c>
      <c r="G979">
        <v>16.82</v>
      </c>
      <c r="H979">
        <v>120</v>
      </c>
      <c r="I979" t="s">
        <v>14</v>
      </c>
      <c r="J979">
        <v>33862</v>
      </c>
      <c r="K979">
        <f t="shared" ca="1" si="90"/>
        <v>0</v>
      </c>
      <c r="L979">
        <f t="shared" ca="1" si="91"/>
        <v>0</v>
      </c>
      <c r="M979" t="str">
        <f t="shared" ca="1" si="92"/>
        <v>Low</v>
      </c>
      <c r="N979">
        <f t="shared" ca="1" si="93"/>
        <v>1.2</v>
      </c>
      <c r="O979">
        <f t="shared" ca="1" si="94"/>
        <v>0</v>
      </c>
      <c r="P979">
        <f t="shared" ca="1" si="95"/>
        <v>0</v>
      </c>
    </row>
    <row r="980" spans="1:16" x14ac:dyDescent="0.3">
      <c r="A980" t="s">
        <v>1430</v>
      </c>
      <c r="B980" t="s">
        <v>941</v>
      </c>
      <c r="C980" t="s">
        <v>39</v>
      </c>
      <c r="D980" t="s">
        <v>18</v>
      </c>
      <c r="E980" s="1">
        <v>46182</v>
      </c>
      <c r="F980">
        <v>11016.54</v>
      </c>
      <c r="G980">
        <v>11.58</v>
      </c>
      <c r="H980">
        <v>84</v>
      </c>
      <c r="I980" t="s">
        <v>14</v>
      </c>
      <c r="J980">
        <v>8373</v>
      </c>
      <c r="K980">
        <f t="shared" ca="1" si="90"/>
        <v>0</v>
      </c>
      <c r="L980">
        <f t="shared" ca="1" si="91"/>
        <v>0</v>
      </c>
      <c r="M980" t="str">
        <f t="shared" ca="1" si="92"/>
        <v>Low</v>
      </c>
      <c r="N980">
        <f t="shared" ca="1" si="93"/>
        <v>0.84</v>
      </c>
      <c r="O980">
        <f t="shared" ca="1" si="94"/>
        <v>0</v>
      </c>
      <c r="P980">
        <f t="shared" ca="1" si="95"/>
        <v>0</v>
      </c>
    </row>
    <row r="981" spans="1:16" x14ac:dyDescent="0.3">
      <c r="A981" t="s">
        <v>1431</v>
      </c>
      <c r="B981" t="s">
        <v>200</v>
      </c>
      <c r="C981" t="s">
        <v>70</v>
      </c>
      <c r="D981" t="s">
        <v>13</v>
      </c>
      <c r="E981" s="1">
        <v>45570</v>
      </c>
      <c r="F981">
        <v>73955.58</v>
      </c>
      <c r="G981">
        <v>16.309999999999999</v>
      </c>
      <c r="H981">
        <v>84</v>
      </c>
      <c r="I981" t="s">
        <v>27</v>
      </c>
      <c r="J981">
        <v>0</v>
      </c>
      <c r="K981">
        <f t="shared" ca="1" si="90"/>
        <v>0</v>
      </c>
      <c r="L981">
        <f t="shared" ca="1" si="91"/>
        <v>0</v>
      </c>
      <c r="M981" t="str">
        <f t="shared" ca="1" si="92"/>
        <v>Low</v>
      </c>
      <c r="N981">
        <f t="shared" ca="1" si="93"/>
        <v>0.84</v>
      </c>
      <c r="O981">
        <f t="shared" ca="1" si="94"/>
        <v>0</v>
      </c>
      <c r="P981">
        <f t="shared" ca="1" si="95"/>
        <v>0</v>
      </c>
    </row>
    <row r="982" spans="1:16" x14ac:dyDescent="0.3">
      <c r="A982" t="s">
        <v>1432</v>
      </c>
      <c r="B982" t="s">
        <v>318</v>
      </c>
      <c r="C982" t="s">
        <v>12</v>
      </c>
      <c r="D982" t="s">
        <v>22</v>
      </c>
      <c r="E982" s="1">
        <v>46072</v>
      </c>
      <c r="F982">
        <v>48269.15</v>
      </c>
      <c r="G982">
        <v>21.9</v>
      </c>
      <c r="H982">
        <v>12</v>
      </c>
      <c r="I982" t="s">
        <v>14</v>
      </c>
      <c r="J982">
        <v>43925</v>
      </c>
      <c r="K982">
        <f t="shared" ca="1" si="90"/>
        <v>60</v>
      </c>
      <c r="L982">
        <f t="shared" ca="1" si="91"/>
        <v>0</v>
      </c>
      <c r="M982" t="str">
        <f t="shared" ca="1" si="92"/>
        <v>Medium</v>
      </c>
      <c r="N982">
        <f t="shared" ca="1" si="93"/>
        <v>1.2000000000000002</v>
      </c>
      <c r="O982">
        <f t="shared" ca="1" si="94"/>
        <v>0</v>
      </c>
      <c r="P982">
        <f t="shared" ca="1" si="95"/>
        <v>49717.224500000004</v>
      </c>
    </row>
    <row r="983" spans="1:16" x14ac:dyDescent="0.3">
      <c r="A983" t="s">
        <v>1433</v>
      </c>
      <c r="B983" t="s">
        <v>1241</v>
      </c>
      <c r="C983" t="s">
        <v>70</v>
      </c>
      <c r="D983" t="s">
        <v>22</v>
      </c>
      <c r="E983" s="1">
        <v>45811</v>
      </c>
      <c r="F983">
        <v>21311.49</v>
      </c>
      <c r="G983">
        <v>11.43</v>
      </c>
      <c r="H983">
        <v>240</v>
      </c>
      <c r="I983" t="s">
        <v>19</v>
      </c>
      <c r="J983">
        <v>0</v>
      </c>
      <c r="K983">
        <f t="shared" ca="1" si="90"/>
        <v>0</v>
      </c>
      <c r="L983">
        <f t="shared" ca="1" si="91"/>
        <v>0</v>
      </c>
      <c r="M983" t="str">
        <f t="shared" ca="1" si="92"/>
        <v>Low</v>
      </c>
      <c r="N983">
        <f t="shared" ca="1" si="93"/>
        <v>2.4</v>
      </c>
      <c r="O983">
        <f t="shared" ca="1" si="94"/>
        <v>0</v>
      </c>
      <c r="P983">
        <f t="shared" ca="1" si="95"/>
        <v>17475.4218</v>
      </c>
    </row>
    <row r="984" spans="1:16" x14ac:dyDescent="0.3">
      <c r="A984" t="s">
        <v>1434</v>
      </c>
      <c r="B984" t="s">
        <v>458</v>
      </c>
      <c r="C984" t="s">
        <v>17</v>
      </c>
      <c r="D984" t="s">
        <v>75</v>
      </c>
      <c r="E984" s="1">
        <v>45356</v>
      </c>
      <c r="F984">
        <v>98910.5</v>
      </c>
      <c r="G984">
        <v>14.81</v>
      </c>
      <c r="H984">
        <v>120</v>
      </c>
      <c r="I984" t="s">
        <v>14</v>
      </c>
      <c r="J984">
        <v>61325</v>
      </c>
      <c r="K984">
        <f t="shared" ca="1" si="90"/>
        <v>15</v>
      </c>
      <c r="L984">
        <f t="shared" ca="1" si="91"/>
        <v>0</v>
      </c>
      <c r="M984" t="str">
        <f t="shared" ca="1" si="92"/>
        <v>Low</v>
      </c>
      <c r="N984">
        <f t="shared" ca="1" si="93"/>
        <v>1.2</v>
      </c>
      <c r="O984">
        <f t="shared" ca="1" si="94"/>
        <v>0</v>
      </c>
      <c r="P984">
        <f t="shared" ca="1" si="95"/>
        <v>96932.29</v>
      </c>
    </row>
    <row r="985" spans="1:16" x14ac:dyDescent="0.3">
      <c r="A985" t="s">
        <v>1435</v>
      </c>
      <c r="B985" t="s">
        <v>404</v>
      </c>
      <c r="C985" t="s">
        <v>70</v>
      </c>
      <c r="D985" t="s">
        <v>26</v>
      </c>
      <c r="E985" s="1">
        <v>45918</v>
      </c>
      <c r="F985">
        <v>60764.58</v>
      </c>
      <c r="G985">
        <v>20.56</v>
      </c>
      <c r="H985">
        <v>120</v>
      </c>
      <c r="I985" t="s">
        <v>19</v>
      </c>
      <c r="J985">
        <v>0</v>
      </c>
      <c r="K985">
        <f t="shared" ca="1" si="90"/>
        <v>0</v>
      </c>
      <c r="L985">
        <f t="shared" ca="1" si="91"/>
        <v>0</v>
      </c>
      <c r="M985" t="str">
        <f t="shared" ca="1" si="92"/>
        <v>Low</v>
      </c>
      <c r="N985">
        <f t="shared" ca="1" si="93"/>
        <v>1.2</v>
      </c>
      <c r="O985">
        <f t="shared" ca="1" si="94"/>
        <v>0</v>
      </c>
      <c r="P985">
        <f t="shared" ca="1" si="95"/>
        <v>44965.789199999999</v>
      </c>
    </row>
    <row r="986" spans="1:16" x14ac:dyDescent="0.3">
      <c r="A986" t="s">
        <v>1436</v>
      </c>
      <c r="B986" t="s">
        <v>1022</v>
      </c>
      <c r="C986" t="s">
        <v>54</v>
      </c>
      <c r="D986" t="s">
        <v>75</v>
      </c>
      <c r="E986" s="1">
        <v>45571</v>
      </c>
      <c r="F986">
        <v>10496.09</v>
      </c>
      <c r="G986">
        <v>16.7</v>
      </c>
      <c r="H986">
        <v>180</v>
      </c>
      <c r="I986" t="s">
        <v>14</v>
      </c>
      <c r="J986">
        <v>9551</v>
      </c>
      <c r="K986">
        <f t="shared" ca="1" si="90"/>
        <v>30</v>
      </c>
      <c r="L986">
        <f t="shared" ca="1" si="91"/>
        <v>0</v>
      </c>
      <c r="M986" t="str">
        <f t="shared" ca="1" si="92"/>
        <v>Medium</v>
      </c>
      <c r="N986">
        <f t="shared" ca="1" si="93"/>
        <v>9</v>
      </c>
      <c r="O986">
        <f t="shared" ca="1" si="94"/>
        <v>0</v>
      </c>
      <c r="P986">
        <f t="shared" ca="1" si="95"/>
        <v>13120.112499999999</v>
      </c>
    </row>
    <row r="987" spans="1:16" x14ac:dyDescent="0.3">
      <c r="A987" t="s">
        <v>1437</v>
      </c>
      <c r="B987" t="s">
        <v>343</v>
      </c>
      <c r="C987" t="s">
        <v>25</v>
      </c>
      <c r="D987" t="s">
        <v>13</v>
      </c>
      <c r="E987" s="1">
        <v>45722</v>
      </c>
      <c r="F987">
        <v>31895.77</v>
      </c>
      <c r="G987">
        <v>20.7</v>
      </c>
      <c r="H987">
        <v>240</v>
      </c>
      <c r="I987" t="s">
        <v>14</v>
      </c>
      <c r="J987">
        <v>27111</v>
      </c>
      <c r="K987">
        <f t="shared" ca="1" si="90"/>
        <v>60</v>
      </c>
      <c r="L987">
        <f t="shared" ca="1" si="91"/>
        <v>0</v>
      </c>
      <c r="M987" t="str">
        <f t="shared" ca="1" si="92"/>
        <v>Medium</v>
      </c>
      <c r="N987">
        <f t="shared" ca="1" si="93"/>
        <v>24</v>
      </c>
      <c r="O987">
        <f t="shared" ca="1" si="94"/>
        <v>0</v>
      </c>
      <c r="P987">
        <f t="shared" ca="1" si="95"/>
        <v>0</v>
      </c>
    </row>
    <row r="988" spans="1:16" x14ac:dyDescent="0.3">
      <c r="A988" t="s">
        <v>1438</v>
      </c>
      <c r="B988" t="s">
        <v>332</v>
      </c>
      <c r="C988" t="s">
        <v>123</v>
      </c>
      <c r="D988" t="s">
        <v>26</v>
      </c>
      <c r="E988" s="1">
        <v>45808</v>
      </c>
      <c r="F988">
        <v>40143.699999999997</v>
      </c>
      <c r="G988">
        <v>14.39</v>
      </c>
      <c r="H988">
        <v>84</v>
      </c>
      <c r="I988" t="s">
        <v>14</v>
      </c>
      <c r="J988">
        <v>22079</v>
      </c>
      <c r="K988">
        <f t="shared" ca="1" si="90"/>
        <v>0</v>
      </c>
      <c r="L988">
        <f t="shared" ca="1" si="91"/>
        <v>0</v>
      </c>
      <c r="M988" t="str">
        <f t="shared" ca="1" si="92"/>
        <v>Low</v>
      </c>
      <c r="N988">
        <f t="shared" ca="1" si="93"/>
        <v>0.84</v>
      </c>
      <c r="O988">
        <f t="shared" ca="1" si="94"/>
        <v>0</v>
      </c>
      <c r="P988">
        <f t="shared" ca="1" si="95"/>
        <v>41348.010999999999</v>
      </c>
    </row>
    <row r="989" spans="1:16" x14ac:dyDescent="0.3">
      <c r="A989" t="s">
        <v>1439</v>
      </c>
      <c r="B989" t="s">
        <v>499</v>
      </c>
      <c r="C989" t="s">
        <v>25</v>
      </c>
      <c r="D989" t="s">
        <v>26</v>
      </c>
      <c r="E989" s="1">
        <v>46017</v>
      </c>
      <c r="F989">
        <v>78816.63</v>
      </c>
      <c r="G989">
        <v>15.61</v>
      </c>
      <c r="H989">
        <v>84</v>
      </c>
      <c r="I989" t="s">
        <v>14</v>
      </c>
      <c r="J989">
        <v>46502</v>
      </c>
      <c r="K989">
        <f t="shared" ca="1" si="90"/>
        <v>15</v>
      </c>
      <c r="L989">
        <f t="shared" ca="1" si="91"/>
        <v>0</v>
      </c>
      <c r="M989" t="str">
        <f t="shared" ca="1" si="92"/>
        <v>Low</v>
      </c>
      <c r="N989">
        <f t="shared" ca="1" si="93"/>
        <v>0.84</v>
      </c>
      <c r="O989">
        <f t="shared" ca="1" si="94"/>
        <v>0</v>
      </c>
      <c r="P989">
        <f t="shared" ca="1" si="95"/>
        <v>99308.953800000003</v>
      </c>
    </row>
    <row r="990" spans="1:16" x14ac:dyDescent="0.3">
      <c r="A990" t="s">
        <v>1440</v>
      </c>
      <c r="B990" t="s">
        <v>1441</v>
      </c>
      <c r="C990" t="s">
        <v>51</v>
      </c>
      <c r="D990" t="s">
        <v>75</v>
      </c>
      <c r="E990" s="1">
        <v>45396</v>
      </c>
      <c r="F990">
        <v>21293.11</v>
      </c>
      <c r="G990">
        <v>15.27</v>
      </c>
      <c r="H990">
        <v>72</v>
      </c>
      <c r="I990" t="s">
        <v>14</v>
      </c>
      <c r="J990">
        <v>12563</v>
      </c>
      <c r="K990">
        <f t="shared" ca="1" si="90"/>
        <v>15</v>
      </c>
      <c r="L990">
        <f t="shared" ca="1" si="91"/>
        <v>0</v>
      </c>
      <c r="M990" t="str">
        <f t="shared" ca="1" si="92"/>
        <v>Low</v>
      </c>
      <c r="N990">
        <f t="shared" ca="1" si="93"/>
        <v>0.72</v>
      </c>
      <c r="O990">
        <f t="shared" ca="1" si="94"/>
        <v>0</v>
      </c>
      <c r="P990">
        <f t="shared" ca="1" si="95"/>
        <v>18737.936800000003</v>
      </c>
    </row>
    <row r="991" spans="1:16" x14ac:dyDescent="0.3">
      <c r="A991" t="s">
        <v>1442</v>
      </c>
      <c r="B991" t="s">
        <v>839</v>
      </c>
      <c r="C991" t="s">
        <v>17</v>
      </c>
      <c r="D991" t="s">
        <v>26</v>
      </c>
      <c r="E991" s="1">
        <v>45729</v>
      </c>
      <c r="F991">
        <v>41255.97</v>
      </c>
      <c r="G991">
        <v>19.690000000000001</v>
      </c>
      <c r="H991">
        <v>24</v>
      </c>
      <c r="I991" t="s">
        <v>14</v>
      </c>
      <c r="J991">
        <v>16915</v>
      </c>
      <c r="K991">
        <f t="shared" ca="1" si="90"/>
        <v>90</v>
      </c>
      <c r="L991">
        <f t="shared" ca="1" si="91"/>
        <v>1</v>
      </c>
      <c r="M991" t="str">
        <f t="shared" ca="1" si="92"/>
        <v>High</v>
      </c>
      <c r="N991">
        <f t="shared" ca="1" si="93"/>
        <v>6</v>
      </c>
      <c r="O991">
        <f t="shared" ca="1" si="94"/>
        <v>5.04</v>
      </c>
      <c r="P991">
        <f t="shared" ca="1" si="95"/>
        <v>30529.417800000003</v>
      </c>
    </row>
    <row r="992" spans="1:16" x14ac:dyDescent="0.3">
      <c r="A992" t="s">
        <v>1443</v>
      </c>
      <c r="B992" t="s">
        <v>391</v>
      </c>
      <c r="C992" t="s">
        <v>33</v>
      </c>
      <c r="D992" t="s">
        <v>18</v>
      </c>
      <c r="E992" s="1">
        <v>45590</v>
      </c>
      <c r="F992">
        <v>38507.64</v>
      </c>
      <c r="G992">
        <v>15.78</v>
      </c>
      <c r="H992">
        <v>240</v>
      </c>
      <c r="I992" t="s">
        <v>19</v>
      </c>
      <c r="J992">
        <v>0</v>
      </c>
      <c r="K992">
        <f t="shared" ca="1" si="90"/>
        <v>0</v>
      </c>
      <c r="L992">
        <f t="shared" ca="1" si="91"/>
        <v>0</v>
      </c>
      <c r="M992" t="str">
        <f t="shared" ca="1" si="92"/>
        <v>Low</v>
      </c>
      <c r="N992">
        <f t="shared" ca="1" si="93"/>
        <v>2.4</v>
      </c>
      <c r="O992">
        <f t="shared" ca="1" si="94"/>
        <v>0</v>
      </c>
      <c r="P992">
        <f t="shared" ca="1" si="95"/>
        <v>0</v>
      </c>
    </row>
    <row r="993" spans="1:16" x14ac:dyDescent="0.3">
      <c r="A993" t="s">
        <v>1444</v>
      </c>
      <c r="B993" t="s">
        <v>1142</v>
      </c>
      <c r="C993" t="s">
        <v>39</v>
      </c>
      <c r="D993" t="s">
        <v>18</v>
      </c>
      <c r="E993" s="1">
        <v>46110</v>
      </c>
      <c r="F993">
        <v>59308.67</v>
      </c>
      <c r="G993">
        <v>17.670000000000002</v>
      </c>
      <c r="H993">
        <v>60</v>
      </c>
      <c r="I993" t="s">
        <v>19</v>
      </c>
      <c r="J993">
        <v>0</v>
      </c>
      <c r="K993">
        <f t="shared" ca="1" si="90"/>
        <v>0</v>
      </c>
      <c r="L993">
        <f t="shared" ca="1" si="91"/>
        <v>0</v>
      </c>
      <c r="M993" t="str">
        <f t="shared" ca="1" si="92"/>
        <v>Low</v>
      </c>
      <c r="N993">
        <f t="shared" ca="1" si="93"/>
        <v>0.6</v>
      </c>
      <c r="O993">
        <f t="shared" ca="1" si="94"/>
        <v>0</v>
      </c>
      <c r="P993">
        <f t="shared" ca="1" si="95"/>
        <v>0</v>
      </c>
    </row>
    <row r="994" spans="1:16" x14ac:dyDescent="0.3">
      <c r="A994" t="s">
        <v>1445</v>
      </c>
      <c r="B994" t="s">
        <v>491</v>
      </c>
      <c r="C994" t="s">
        <v>70</v>
      </c>
      <c r="D994" t="s">
        <v>26</v>
      </c>
      <c r="E994" s="1">
        <v>45589</v>
      </c>
      <c r="F994">
        <v>34815.51</v>
      </c>
      <c r="G994">
        <v>10.68</v>
      </c>
      <c r="H994">
        <v>60</v>
      </c>
      <c r="I994" t="s">
        <v>14</v>
      </c>
      <c r="J994">
        <v>20889</v>
      </c>
      <c r="K994">
        <f t="shared" ca="1" si="90"/>
        <v>60</v>
      </c>
      <c r="L994">
        <f t="shared" ca="1" si="91"/>
        <v>0</v>
      </c>
      <c r="M994" t="str">
        <f t="shared" ca="1" si="92"/>
        <v>Medium</v>
      </c>
      <c r="N994">
        <f t="shared" ca="1" si="93"/>
        <v>6</v>
      </c>
      <c r="O994">
        <f t="shared" ca="1" si="94"/>
        <v>0</v>
      </c>
      <c r="P994">
        <f t="shared" ca="1" si="95"/>
        <v>39689.681400000001</v>
      </c>
    </row>
    <row r="995" spans="1:16" x14ac:dyDescent="0.3">
      <c r="A995" t="s">
        <v>1446</v>
      </c>
      <c r="B995" t="s">
        <v>166</v>
      </c>
      <c r="C995" t="s">
        <v>25</v>
      </c>
      <c r="D995" t="s">
        <v>30</v>
      </c>
      <c r="E995" s="1">
        <v>45387</v>
      </c>
      <c r="F995">
        <v>86601.84</v>
      </c>
      <c r="G995">
        <v>16.62</v>
      </c>
      <c r="H995">
        <v>48</v>
      </c>
      <c r="I995" t="s">
        <v>14</v>
      </c>
      <c r="J995">
        <v>58023</v>
      </c>
      <c r="K995">
        <f t="shared" ca="1" si="90"/>
        <v>90</v>
      </c>
      <c r="L995">
        <f t="shared" ca="1" si="91"/>
        <v>1</v>
      </c>
      <c r="M995" t="str">
        <f t="shared" ca="1" si="92"/>
        <v>High</v>
      </c>
      <c r="N995">
        <f t="shared" ca="1" si="93"/>
        <v>12</v>
      </c>
      <c r="O995">
        <f t="shared" ca="1" si="94"/>
        <v>5.28</v>
      </c>
      <c r="P995">
        <f t="shared" ca="1" si="95"/>
        <v>0</v>
      </c>
    </row>
    <row r="996" spans="1:16" x14ac:dyDescent="0.3">
      <c r="A996" t="s">
        <v>1447</v>
      </c>
      <c r="B996" t="s">
        <v>86</v>
      </c>
      <c r="C996" t="s">
        <v>39</v>
      </c>
      <c r="D996" t="s">
        <v>30</v>
      </c>
      <c r="E996" s="1">
        <v>46114</v>
      </c>
      <c r="F996">
        <v>10769.35</v>
      </c>
      <c r="G996">
        <v>21.56</v>
      </c>
      <c r="H996">
        <v>180</v>
      </c>
      <c r="I996" t="s">
        <v>14</v>
      </c>
      <c r="J996">
        <v>3985</v>
      </c>
      <c r="K996">
        <f t="shared" ca="1" si="90"/>
        <v>15</v>
      </c>
      <c r="L996">
        <f t="shared" ca="1" si="91"/>
        <v>0</v>
      </c>
      <c r="M996" t="str">
        <f t="shared" ca="1" si="92"/>
        <v>Low</v>
      </c>
      <c r="N996">
        <f t="shared" ca="1" si="93"/>
        <v>1.8</v>
      </c>
      <c r="O996">
        <f t="shared" ca="1" si="94"/>
        <v>0</v>
      </c>
      <c r="P996">
        <f t="shared" ca="1" si="95"/>
        <v>0</v>
      </c>
    </row>
    <row r="997" spans="1:16" x14ac:dyDescent="0.3">
      <c r="A997" t="s">
        <v>1448</v>
      </c>
      <c r="B997" t="s">
        <v>631</v>
      </c>
      <c r="C997" t="s">
        <v>33</v>
      </c>
      <c r="D997" t="s">
        <v>18</v>
      </c>
      <c r="E997" s="1">
        <v>46097</v>
      </c>
      <c r="F997">
        <v>9482.19</v>
      </c>
      <c r="G997">
        <v>6.7</v>
      </c>
      <c r="H997">
        <v>12</v>
      </c>
      <c r="I997" t="s">
        <v>14</v>
      </c>
      <c r="J997">
        <v>6353</v>
      </c>
      <c r="K997">
        <f t="shared" ca="1" si="90"/>
        <v>120</v>
      </c>
      <c r="L997">
        <f t="shared" ca="1" si="91"/>
        <v>1</v>
      </c>
      <c r="M997" t="str">
        <f t="shared" ca="1" si="92"/>
        <v>High</v>
      </c>
      <c r="N997">
        <f t="shared" ca="1" si="93"/>
        <v>3</v>
      </c>
      <c r="O997">
        <f t="shared" ca="1" si="94"/>
        <v>2.2799999999999998</v>
      </c>
      <c r="P997">
        <f t="shared" ca="1" si="95"/>
        <v>0</v>
      </c>
    </row>
    <row r="998" spans="1:16" x14ac:dyDescent="0.3">
      <c r="A998" t="s">
        <v>1449</v>
      </c>
      <c r="B998" t="s">
        <v>968</v>
      </c>
      <c r="C998" t="s">
        <v>12</v>
      </c>
      <c r="D998" t="s">
        <v>18</v>
      </c>
      <c r="E998" s="1">
        <v>45580</v>
      </c>
      <c r="F998">
        <v>51162.1</v>
      </c>
      <c r="G998">
        <v>4.28</v>
      </c>
      <c r="H998">
        <v>180</v>
      </c>
      <c r="I998" t="s">
        <v>19</v>
      </c>
      <c r="J998">
        <v>0</v>
      </c>
      <c r="K998">
        <f t="shared" ca="1" si="90"/>
        <v>0</v>
      </c>
      <c r="L998">
        <f t="shared" ca="1" si="91"/>
        <v>0</v>
      </c>
      <c r="M998" t="str">
        <f t="shared" ca="1" si="92"/>
        <v>Low</v>
      </c>
      <c r="N998">
        <f t="shared" ca="1" si="93"/>
        <v>1.8</v>
      </c>
      <c r="O998">
        <f t="shared" ca="1" si="94"/>
        <v>0</v>
      </c>
      <c r="P998">
        <f t="shared" ca="1" si="95"/>
        <v>0</v>
      </c>
    </row>
    <row r="999" spans="1:16" x14ac:dyDescent="0.3">
      <c r="A999" t="s">
        <v>1450</v>
      </c>
      <c r="B999" t="s">
        <v>347</v>
      </c>
      <c r="C999" t="s">
        <v>123</v>
      </c>
      <c r="D999" t="s">
        <v>18</v>
      </c>
      <c r="E999" s="1">
        <v>45652</v>
      </c>
      <c r="F999">
        <v>35670.81</v>
      </c>
      <c r="G999">
        <v>10.1</v>
      </c>
      <c r="H999">
        <v>240</v>
      </c>
      <c r="I999" t="s">
        <v>27</v>
      </c>
      <c r="J999">
        <v>0</v>
      </c>
      <c r="K999">
        <f t="shared" ca="1" si="90"/>
        <v>30</v>
      </c>
      <c r="L999">
        <f t="shared" ca="1" si="91"/>
        <v>0</v>
      </c>
      <c r="M999" t="str">
        <f t="shared" ca="1" si="92"/>
        <v>Medium</v>
      </c>
      <c r="N999">
        <f t="shared" ca="1" si="93"/>
        <v>12</v>
      </c>
      <c r="O999">
        <f t="shared" ca="1" si="94"/>
        <v>0</v>
      </c>
      <c r="P999">
        <f t="shared" ca="1" si="95"/>
        <v>0</v>
      </c>
    </row>
    <row r="1000" spans="1:16" x14ac:dyDescent="0.3">
      <c r="A1000" t="s">
        <v>1451</v>
      </c>
      <c r="B1000" t="s">
        <v>1016</v>
      </c>
      <c r="C1000" t="s">
        <v>39</v>
      </c>
      <c r="D1000" t="s">
        <v>18</v>
      </c>
      <c r="E1000" s="1">
        <v>45533</v>
      </c>
      <c r="F1000">
        <v>61359.3</v>
      </c>
      <c r="G1000">
        <v>13.12</v>
      </c>
      <c r="H1000">
        <v>36</v>
      </c>
      <c r="I1000" t="s">
        <v>14</v>
      </c>
      <c r="J1000">
        <v>32520</v>
      </c>
      <c r="K1000">
        <f t="shared" ca="1" si="90"/>
        <v>90</v>
      </c>
      <c r="L1000">
        <f t="shared" ca="1" si="91"/>
        <v>1</v>
      </c>
      <c r="M1000" t="str">
        <f t="shared" ca="1" si="92"/>
        <v>High</v>
      </c>
      <c r="N1000">
        <f t="shared" ca="1" si="93"/>
        <v>9</v>
      </c>
      <c r="O1000">
        <f t="shared" ca="1" si="94"/>
        <v>5.4</v>
      </c>
      <c r="P1000">
        <f t="shared" ca="1" si="95"/>
        <v>0</v>
      </c>
    </row>
    <row r="1001" spans="1:16" x14ac:dyDescent="0.3">
      <c r="A1001" t="s">
        <v>1452</v>
      </c>
      <c r="B1001" t="s">
        <v>185</v>
      </c>
      <c r="C1001" t="s">
        <v>36</v>
      </c>
      <c r="D1001" t="s">
        <v>22</v>
      </c>
      <c r="E1001" s="1">
        <v>46122</v>
      </c>
      <c r="F1001">
        <v>88457.5</v>
      </c>
      <c r="G1001">
        <v>12.03</v>
      </c>
      <c r="H1001">
        <v>72</v>
      </c>
      <c r="I1001" t="s">
        <v>14</v>
      </c>
      <c r="J1001">
        <v>41575</v>
      </c>
      <c r="K1001">
        <f t="shared" ca="1" si="90"/>
        <v>0</v>
      </c>
      <c r="L1001">
        <f t="shared" ca="1" si="91"/>
        <v>0</v>
      </c>
      <c r="M1001" t="str">
        <f t="shared" ca="1" si="92"/>
        <v>Low</v>
      </c>
      <c r="N1001">
        <f t="shared" ca="1" si="93"/>
        <v>0.72</v>
      </c>
      <c r="O1001">
        <f t="shared" ca="1" si="94"/>
        <v>0</v>
      </c>
      <c r="P1001">
        <f t="shared" ca="1" si="95"/>
        <v>80496.324999999997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Bagadia, Mihir</cp:lastModifiedBy>
  <dcterms:created xsi:type="dcterms:W3CDTF">2026-06-17T19:22:04Z</dcterms:created>
  <dcterms:modified xsi:type="dcterms:W3CDTF">2026-06-26T19:51:48Z</dcterms:modified>
</cp:coreProperties>
</file>